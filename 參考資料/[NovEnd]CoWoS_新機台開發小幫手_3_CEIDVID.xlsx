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filterPrivacy="1" defaultThemeVersion="124226"/>
  <xr:revisionPtr revIDLastSave="0" documentId="13_ncr:1_{8F4BDC66-C498-44F5-B685-29ADD7B66231}" xr6:coauthVersionLast="47" xr6:coauthVersionMax="47" xr10:uidLastSave="{00000000-0000-0000-0000-000000000000}"/>
  <bookViews>
    <workbookView xWindow="-28920" yWindow="-7755" windowWidth="29040" windowHeight="15720" tabRatio="875" activeTab="1" xr2:uid="{00000000-000D-0000-FFFF-FFFF00000000}"/>
  </bookViews>
  <sheets>
    <sheet name="How to Fill" sheetId="19" r:id="rId1"/>
    <sheet name="Define Event Report" sheetId="17" r:id="rId2"/>
    <sheet name="Enter DVID" sheetId="18"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91" i="17" l="1"/>
  <c r="K65" i="17"/>
  <c r="K64" i="17"/>
  <c r="K796" i="17"/>
  <c r="K795" i="17"/>
  <c r="K794" i="17"/>
  <c r="K793" i="17"/>
  <c r="K792" i="17"/>
  <c r="K791" i="17"/>
  <c r="K788" i="17"/>
  <c r="K787" i="17"/>
  <c r="K786" i="17"/>
  <c r="K785" i="17"/>
  <c r="K784" i="17"/>
  <c r="K783" i="17"/>
  <c r="K780" i="17"/>
  <c r="K779" i="17"/>
  <c r="K778" i="17"/>
  <c r="K777" i="17"/>
  <c r="K776" i="17"/>
  <c r="K775" i="17"/>
  <c r="K774" i="17"/>
  <c r="K773" i="17"/>
  <c r="K772" i="17"/>
  <c r="K771" i="17"/>
  <c r="K770" i="17"/>
  <c r="K769" i="17"/>
  <c r="K766" i="17"/>
  <c r="K765" i="17"/>
  <c r="K764" i="17"/>
  <c r="K763" i="17"/>
  <c r="K762" i="17"/>
  <c r="K761" i="17"/>
  <c r="K760" i="17"/>
  <c r="K759" i="17"/>
  <c r="K758" i="17"/>
  <c r="K757" i="17"/>
  <c r="K756" i="17"/>
  <c r="K755" i="17"/>
  <c r="K752" i="17"/>
  <c r="K751" i="17"/>
  <c r="K750" i="17"/>
  <c r="K749" i="17"/>
  <c r="K748" i="17"/>
  <c r="K747" i="17"/>
  <c r="K744" i="17"/>
  <c r="K743" i="17"/>
  <c r="K742" i="17"/>
  <c r="K741" i="17"/>
  <c r="K740" i="17"/>
  <c r="K739" i="17"/>
  <c r="K736" i="17"/>
  <c r="K735" i="17"/>
  <c r="K734" i="17"/>
  <c r="K733" i="17"/>
  <c r="K732" i="17"/>
  <c r="K731" i="17"/>
  <c r="K730" i="17"/>
  <c r="K729" i="17"/>
  <c r="K728" i="17"/>
  <c r="K727" i="17"/>
  <c r="K726" i="17"/>
  <c r="K725" i="17"/>
  <c r="K722" i="17"/>
  <c r="K721" i="17"/>
  <c r="K720" i="17"/>
  <c r="K719" i="17"/>
  <c r="K718" i="17"/>
  <c r="K717" i="17"/>
  <c r="K716" i="17"/>
  <c r="K715" i="17"/>
  <c r="K714" i="17"/>
  <c r="K713" i="17"/>
  <c r="K712" i="17"/>
  <c r="K711" i="17"/>
  <c r="K708" i="17"/>
  <c r="K707" i="17"/>
  <c r="K706" i="17"/>
  <c r="K705" i="17"/>
  <c r="K704" i="17"/>
  <c r="K703" i="17"/>
  <c r="K702" i="17"/>
  <c r="K701" i="17"/>
  <c r="K700" i="17"/>
  <c r="K699" i="17"/>
  <c r="K696" i="17"/>
  <c r="K695" i="17"/>
  <c r="K694" i="17"/>
  <c r="K693" i="17"/>
  <c r="K692" i="17"/>
  <c r="K691" i="17"/>
  <c r="K690" i="17"/>
  <c r="K689" i="17"/>
  <c r="K688" i="17"/>
  <c r="K687" i="17"/>
  <c r="K684" i="17"/>
  <c r="K683" i="17"/>
  <c r="K682" i="17"/>
  <c r="K681" i="17"/>
  <c r="K680" i="17"/>
  <c r="K679" i="17"/>
  <c r="K678" i="17"/>
  <c r="K677" i="17"/>
  <c r="K674" i="17"/>
  <c r="K673" i="17"/>
  <c r="K672" i="17"/>
  <c r="K671" i="17"/>
  <c r="K670" i="17"/>
  <c r="K669" i="17"/>
  <c r="K668" i="17"/>
  <c r="K667" i="17"/>
  <c r="K664" i="17"/>
  <c r="K663" i="17"/>
  <c r="K662" i="17"/>
  <c r="K661" i="17"/>
  <c r="K660" i="17"/>
  <c r="K659" i="17"/>
  <c r="K658" i="17"/>
  <c r="K657" i="17"/>
  <c r="K656" i="17"/>
  <c r="K655" i="17"/>
  <c r="K654" i="17"/>
  <c r="K653" i="17"/>
  <c r="K652" i="17"/>
  <c r="K651" i="17"/>
  <c r="K650" i="17"/>
  <c r="K649" i="17"/>
  <c r="K648" i="17"/>
  <c r="K647" i="17"/>
  <c r="K644" i="17"/>
  <c r="K643" i="17"/>
  <c r="K642" i="17"/>
  <c r="K641" i="17"/>
  <c r="K640" i="17"/>
  <c r="K639" i="17"/>
  <c r="K638" i="17"/>
  <c r="K637" i="17"/>
  <c r="K636" i="17"/>
  <c r="K635" i="17"/>
  <c r="K634" i="17"/>
  <c r="K633" i="17"/>
  <c r="K632" i="17"/>
  <c r="K631" i="17"/>
  <c r="K630" i="17"/>
  <c r="K629" i="17"/>
  <c r="K628" i="17"/>
  <c r="K627" i="17"/>
  <c r="K624" i="17"/>
  <c r="K623" i="17"/>
  <c r="K622" i="17"/>
  <c r="K621" i="17"/>
  <c r="K620" i="17"/>
  <c r="K619" i="17"/>
  <c r="K618" i="17"/>
  <c r="K617" i="17"/>
  <c r="K616" i="17"/>
  <c r="K615" i="17"/>
  <c r="K614" i="17"/>
  <c r="K613" i="17"/>
  <c r="K612" i="17"/>
  <c r="K611" i="17"/>
  <c r="K610" i="17"/>
  <c r="K609" i="17"/>
  <c r="K608" i="17"/>
  <c r="K607" i="17"/>
  <c r="K604" i="17"/>
  <c r="K603" i="17"/>
  <c r="K602" i="17"/>
  <c r="K601" i="17"/>
  <c r="K600" i="17"/>
  <c r="K599" i="17"/>
  <c r="K598" i="17"/>
  <c r="K597" i="17"/>
  <c r="K596" i="17"/>
  <c r="K595" i="17"/>
  <c r="K594" i="17"/>
  <c r="K593" i="17"/>
  <c r="K592" i="17"/>
  <c r="K591" i="17"/>
  <c r="K590" i="17"/>
  <c r="K589" i="17"/>
  <c r="K588" i="17"/>
  <c r="K587" i="17"/>
  <c r="K584" i="17"/>
  <c r="K583" i="17"/>
  <c r="K582" i="17"/>
  <c r="K581" i="17"/>
  <c r="K580" i="17"/>
  <c r="K579" i="17"/>
  <c r="K578" i="17"/>
  <c r="K577" i="17"/>
  <c r="K576" i="17"/>
  <c r="K575" i="17"/>
  <c r="K574" i="17"/>
  <c r="K573" i="17"/>
  <c r="K572" i="17"/>
  <c r="K571" i="17"/>
  <c r="K570" i="17"/>
  <c r="K569" i="17"/>
  <c r="K568" i="17"/>
  <c r="K567" i="17"/>
  <c r="K564" i="17"/>
  <c r="K563" i="17"/>
  <c r="K562" i="17"/>
  <c r="K561" i="17"/>
  <c r="K560" i="17"/>
  <c r="K559" i="17"/>
  <c r="K558" i="17"/>
  <c r="K557" i="17"/>
  <c r="K556" i="17"/>
  <c r="K555" i="17"/>
  <c r="K554" i="17"/>
  <c r="K553" i="17"/>
  <c r="K552" i="17"/>
  <c r="K551" i="17"/>
  <c r="K550" i="17"/>
  <c r="K549" i="17"/>
  <c r="K548" i="17"/>
  <c r="K547" i="17"/>
  <c r="K544" i="17"/>
  <c r="K543" i="17"/>
  <c r="K542" i="17"/>
  <c r="K541" i="17"/>
  <c r="K540" i="17"/>
  <c r="K539" i="17"/>
  <c r="K538" i="17"/>
  <c r="K537" i="17"/>
  <c r="K536" i="17"/>
  <c r="K535" i="17"/>
  <c r="K534" i="17"/>
  <c r="K533" i="17"/>
  <c r="K532" i="17"/>
  <c r="K531" i="17"/>
  <c r="K530" i="17"/>
  <c r="K529" i="17"/>
  <c r="K528" i="17"/>
  <c r="K527" i="17"/>
  <c r="K524" i="17"/>
  <c r="K523" i="17"/>
  <c r="K522" i="17"/>
  <c r="K521" i="17"/>
  <c r="K520" i="17"/>
  <c r="K519" i="17"/>
  <c r="K518" i="17"/>
  <c r="K517" i="17"/>
  <c r="K516" i="17"/>
  <c r="K515" i="17"/>
  <c r="K514" i="17"/>
  <c r="K513" i="17"/>
  <c r="K512" i="17"/>
  <c r="K511" i="17"/>
  <c r="K510" i="17"/>
  <c r="K509" i="17"/>
  <c r="K508" i="17"/>
  <c r="K507" i="17"/>
  <c r="K504" i="17"/>
  <c r="K503" i="17"/>
  <c r="K502" i="17"/>
  <c r="K501" i="17"/>
  <c r="K500" i="17"/>
  <c r="K499" i="17"/>
  <c r="K498" i="17"/>
  <c r="K497" i="17"/>
  <c r="K496" i="17"/>
  <c r="K495" i="17"/>
  <c r="K494" i="17"/>
  <c r="K493" i="17"/>
  <c r="K492" i="17"/>
  <c r="K491" i="17"/>
  <c r="K490" i="17"/>
  <c r="K489" i="17"/>
  <c r="K488" i="17"/>
  <c r="K487" i="17"/>
  <c r="K484" i="17"/>
  <c r="K483" i="17"/>
  <c r="K482" i="17"/>
  <c r="K481" i="17"/>
  <c r="K480" i="17"/>
  <c r="K479" i="17"/>
  <c r="K478" i="17"/>
  <c r="K477" i="17"/>
  <c r="K476" i="17"/>
  <c r="K475" i="17"/>
  <c r="K474" i="17"/>
  <c r="K473" i="17"/>
  <c r="K472" i="17"/>
  <c r="K471" i="17"/>
  <c r="K470" i="17"/>
  <c r="K469" i="17"/>
  <c r="K468" i="17"/>
  <c r="K467" i="17"/>
  <c r="K464" i="17"/>
  <c r="K463" i="17"/>
  <c r="K462" i="17"/>
  <c r="K461" i="17"/>
  <c r="K460" i="17"/>
  <c r="K459" i="17"/>
  <c r="K458" i="17"/>
  <c r="K457" i="17"/>
  <c r="K456" i="17"/>
  <c r="K455" i="17"/>
  <c r="K454" i="17"/>
  <c r="K453" i="17"/>
  <c r="K452" i="17"/>
  <c r="K451" i="17"/>
  <c r="K450" i="17"/>
  <c r="K449" i="17"/>
  <c r="K448" i="17"/>
  <c r="K447" i="17"/>
  <c r="K444" i="17"/>
  <c r="K443" i="17"/>
  <c r="K442" i="17"/>
  <c r="K441" i="17"/>
  <c r="K440" i="17"/>
  <c r="K439" i="17"/>
  <c r="K438" i="17"/>
  <c r="K437" i="17"/>
  <c r="K436" i="17"/>
  <c r="K435" i="17"/>
  <c r="K434" i="17"/>
  <c r="K433" i="17"/>
  <c r="K432" i="17"/>
  <c r="K431" i="17"/>
  <c r="K430" i="17"/>
  <c r="K429" i="17"/>
  <c r="K428" i="17"/>
  <c r="K425" i="17"/>
  <c r="K424" i="17"/>
  <c r="K423" i="17"/>
  <c r="K422" i="17"/>
  <c r="K421" i="17"/>
  <c r="K420" i="17"/>
  <c r="K419" i="17"/>
  <c r="K418" i="17"/>
  <c r="K417" i="17"/>
  <c r="K416" i="17"/>
  <c r="K415" i="17"/>
  <c r="K414" i="17"/>
  <c r="K413" i="17"/>
  <c r="K412" i="17"/>
  <c r="K411" i="17"/>
  <c r="K410" i="17"/>
  <c r="K409" i="17"/>
  <c r="K406" i="17"/>
  <c r="K405" i="17"/>
  <c r="K404" i="17"/>
  <c r="K403" i="17"/>
  <c r="K402" i="17"/>
  <c r="K401" i="17"/>
  <c r="K400" i="17"/>
  <c r="K399" i="17"/>
  <c r="K396" i="17"/>
  <c r="K395" i="17"/>
  <c r="K394" i="17"/>
  <c r="K393" i="17"/>
  <c r="K392" i="17"/>
  <c r="K391" i="17"/>
  <c r="K390" i="17"/>
  <c r="K389" i="17"/>
  <c r="K388" i="17"/>
  <c r="K387" i="17"/>
  <c r="K384" i="17"/>
  <c r="K383" i="17"/>
  <c r="K382" i="17"/>
  <c r="K381" i="17"/>
  <c r="K380" i="17"/>
  <c r="K379" i="17"/>
  <c r="K378" i="17"/>
  <c r="K377" i="17"/>
  <c r="K376" i="17"/>
  <c r="K375" i="17"/>
  <c r="K372" i="17"/>
  <c r="K371" i="17"/>
  <c r="K370" i="17"/>
  <c r="K369" i="17"/>
  <c r="K368" i="17"/>
  <c r="K367" i="17"/>
  <c r="K366" i="17"/>
  <c r="K365" i="17"/>
  <c r="K364" i="17"/>
  <c r="K363" i="17"/>
  <c r="K360" i="17"/>
  <c r="K359" i="17"/>
  <c r="K358" i="17"/>
  <c r="K357" i="17"/>
  <c r="K356" i="17"/>
  <c r="K355" i="17"/>
  <c r="K354" i="17"/>
  <c r="K353" i="17"/>
  <c r="K350" i="17"/>
  <c r="K349" i="17"/>
  <c r="K348" i="17"/>
  <c r="K347" i="17"/>
  <c r="K346" i="17"/>
  <c r="K345" i="17"/>
  <c r="K344" i="17"/>
  <c r="K343" i="17"/>
  <c r="K340" i="17"/>
  <c r="K339" i="17"/>
  <c r="K338" i="17"/>
  <c r="K337" i="17"/>
  <c r="K336" i="17"/>
  <c r="K335" i="17"/>
  <c r="K334" i="17"/>
  <c r="K333" i="17"/>
  <c r="K330" i="17"/>
  <c r="K329" i="17"/>
  <c r="K328" i="17"/>
  <c r="K327" i="17"/>
  <c r="K326" i="17"/>
  <c r="K325" i="17"/>
  <c r="K324" i="17"/>
  <c r="K323" i="17"/>
  <c r="K320" i="17"/>
  <c r="K319" i="17"/>
  <c r="K318" i="17"/>
  <c r="K317" i="17"/>
  <c r="K316" i="17"/>
  <c r="K315" i="17"/>
  <c r="K314" i="17"/>
  <c r="K313" i="17"/>
  <c r="K310" i="17"/>
  <c r="K309" i="17"/>
  <c r="K308" i="17"/>
  <c r="K307" i="17"/>
  <c r="K306" i="17"/>
  <c r="K305" i="17"/>
  <c r="K302" i="17"/>
  <c r="K301" i="17"/>
  <c r="K300" i="17"/>
  <c r="K299" i="17"/>
  <c r="K298" i="17"/>
  <c r="K297" i="17"/>
  <c r="K296" i="17"/>
  <c r="K295" i="17"/>
  <c r="K292" i="17"/>
  <c r="K291" i="17"/>
  <c r="K290" i="17"/>
  <c r="K289" i="17"/>
  <c r="K288" i="17"/>
  <c r="K287" i="17"/>
  <c r="K286" i="17"/>
  <c r="K285" i="17"/>
  <c r="K282" i="17"/>
  <c r="K281" i="17"/>
  <c r="K280" i="17"/>
  <c r="K279" i="17"/>
  <c r="K278" i="17"/>
  <c r="K277" i="17"/>
  <c r="K276" i="17"/>
  <c r="K275" i="17"/>
  <c r="K272" i="17"/>
  <c r="K271" i="17"/>
  <c r="K270" i="17"/>
  <c r="K269" i="17"/>
  <c r="K268" i="17"/>
  <c r="K267" i="17"/>
  <c r="K266" i="17"/>
  <c r="K265" i="17"/>
  <c r="K264" i="17"/>
  <c r="K263" i="17"/>
  <c r="K262" i="17"/>
  <c r="K259" i="17"/>
  <c r="K258" i="17"/>
  <c r="K257" i="17"/>
  <c r="K256" i="17"/>
  <c r="K255" i="17"/>
  <c r="K254" i="17"/>
  <c r="K253" i="17"/>
  <c r="K252" i="17"/>
  <c r="K251" i="17"/>
  <c r="K250" i="17"/>
  <c r="K249" i="17"/>
  <c r="K246" i="17"/>
  <c r="K245" i="17"/>
  <c r="K244" i="17"/>
  <c r="K243" i="17"/>
  <c r="K242" i="17"/>
  <c r="K241" i="17"/>
  <c r="K240" i="17"/>
  <c r="K237" i="17"/>
  <c r="K236" i="17"/>
  <c r="K235" i="17"/>
  <c r="K234" i="17"/>
  <c r="K233" i="17"/>
  <c r="K232" i="17"/>
  <c r="K231" i="17"/>
  <c r="K228" i="17"/>
  <c r="K227" i="17"/>
  <c r="K226" i="17"/>
  <c r="K225" i="17"/>
  <c r="K224" i="17"/>
  <c r="K223" i="17"/>
  <c r="K222" i="17"/>
  <c r="K219" i="17"/>
  <c r="K218" i="17"/>
  <c r="K217" i="17"/>
  <c r="K216" i="17"/>
  <c r="K215" i="17"/>
  <c r="K212" i="17"/>
  <c r="K211" i="17"/>
  <c r="K210" i="17"/>
  <c r="K209" i="17"/>
  <c r="K208" i="17"/>
  <c r="K205" i="17"/>
  <c r="K204" i="17"/>
  <c r="K203" i="17"/>
  <c r="K202" i="17"/>
  <c r="K201" i="17"/>
  <c r="K198" i="17"/>
  <c r="K197" i="17"/>
  <c r="K196" i="17"/>
  <c r="K195" i="17"/>
  <c r="K194" i="17"/>
  <c r="K193" i="17"/>
  <c r="K192" i="17"/>
  <c r="K191" i="17"/>
  <c r="K190" i="17"/>
  <c r="K189" i="17"/>
  <c r="K188" i="17"/>
  <c r="K185" i="17"/>
  <c r="K184" i="17"/>
  <c r="K183" i="17"/>
  <c r="K182" i="17"/>
  <c r="K181" i="17"/>
  <c r="K180" i="17"/>
  <c r="K179" i="17"/>
  <c r="K178" i="17"/>
  <c r="K175" i="17"/>
  <c r="K174" i="17"/>
  <c r="K173" i="17"/>
  <c r="K172" i="17"/>
  <c r="K171" i="17"/>
  <c r="K170" i="17"/>
  <c r="K169" i="17"/>
  <c r="K168" i="17"/>
  <c r="K167" i="17"/>
  <c r="K164" i="17"/>
  <c r="K163" i="17"/>
  <c r="K162" i="17"/>
  <c r="K159" i="17"/>
  <c r="K158" i="17"/>
  <c r="K157" i="17"/>
  <c r="K156" i="17"/>
  <c r="K155" i="17"/>
  <c r="K154" i="17"/>
  <c r="K153" i="17"/>
  <c r="K152" i="17"/>
  <c r="K151" i="17"/>
  <c r="K148" i="17"/>
  <c r="K147" i="17"/>
  <c r="K146" i="17"/>
  <c r="K145" i="17"/>
  <c r="K144" i="17"/>
  <c r="K141" i="17"/>
  <c r="K140" i="17"/>
  <c r="K139" i="17"/>
  <c r="K138" i="17"/>
  <c r="K137" i="17"/>
  <c r="K136" i="17"/>
  <c r="K133" i="17"/>
  <c r="K132" i="17"/>
  <c r="K131" i="17"/>
  <c r="K130" i="17"/>
  <c r="K129" i="17"/>
  <c r="K126" i="17"/>
  <c r="K125" i="17"/>
  <c r="K124" i="17"/>
  <c r="K123" i="17"/>
  <c r="K120" i="17"/>
  <c r="K119" i="17"/>
  <c r="K118" i="17"/>
  <c r="K117" i="17"/>
  <c r="K116" i="17"/>
  <c r="K115" i="17"/>
  <c r="K112" i="17"/>
  <c r="K111" i="17"/>
  <c r="K110" i="17"/>
  <c r="K109" i="17"/>
  <c r="K108" i="17"/>
  <c r="K107" i="17"/>
  <c r="K104" i="17"/>
  <c r="K103" i="17"/>
  <c r="K102" i="17"/>
  <c r="K101" i="17"/>
  <c r="K100" i="17"/>
  <c r="K97" i="17"/>
  <c r="K96" i="17"/>
  <c r="K95" i="17"/>
  <c r="K94" i="17"/>
  <c r="K93" i="17"/>
  <c r="K90" i="17"/>
  <c r="K89" i="17"/>
  <c r="K88" i="17"/>
  <c r="K87" i="17"/>
  <c r="K84" i="17"/>
  <c r="K83" i="17"/>
  <c r="K82" i="17"/>
  <c r="K81" i="17"/>
  <c r="K78" i="17"/>
  <c r="K77" i="17"/>
  <c r="K76" i="17"/>
  <c r="K75" i="17"/>
  <c r="K72" i="17"/>
  <c r="K71" i="17"/>
  <c r="K70" i="17"/>
  <c r="K69" i="17"/>
  <c r="K68" i="17"/>
  <c r="K63" i="17"/>
  <c r="K62" i="17"/>
  <c r="K59" i="17"/>
  <c r="K58" i="17"/>
  <c r="K57" i="17"/>
  <c r="K56" i="17"/>
  <c r="K55" i="17"/>
  <c r="K52" i="17"/>
  <c r="K51" i="17"/>
  <c r="K50" i="17"/>
  <c r="K49" i="17"/>
  <c r="K48" i="17"/>
  <c r="K45" i="17"/>
  <c r="K44" i="17"/>
  <c r="K43" i="17"/>
  <c r="K42" i="17"/>
  <c r="K41" i="17"/>
  <c r="K38" i="17"/>
  <c r="K37" i="17"/>
  <c r="K36" i="17"/>
  <c r="K35" i="17"/>
  <c r="K34" i="17"/>
  <c r="K31" i="17"/>
  <c r="K30" i="17"/>
  <c r="K29" i="17"/>
  <c r="K26" i="17"/>
  <c r="K23" i="17"/>
  <c r="K22" i="17"/>
  <c r="K21" i="17"/>
  <c r="K17" i="17"/>
  <c r="K18" i="17"/>
  <c r="K16" i="17"/>
  <c r="K12" i="17"/>
  <c r="K13" i="17"/>
  <c r="K11" i="17"/>
  <c r="I11" i="17"/>
  <c r="I13" i="17"/>
  <c r="H13" i="17"/>
  <c r="I12" i="17"/>
  <c r="H12" i="17"/>
  <c r="H11" i="17"/>
  <c r="I18" i="17"/>
  <c r="H18" i="17"/>
  <c r="I17" i="17"/>
  <c r="H17" i="17"/>
  <c r="I16" i="17"/>
  <c r="H16" i="17"/>
  <c r="I23" i="17"/>
  <c r="H23" i="17"/>
  <c r="I22" i="17"/>
  <c r="H22" i="17"/>
  <c r="I21" i="17"/>
  <c r="H21" i="17"/>
  <c r="I26" i="17"/>
  <c r="H26" i="17"/>
  <c r="I31" i="17"/>
  <c r="H31" i="17"/>
  <c r="I30" i="17"/>
  <c r="H30" i="17"/>
  <c r="I29" i="17"/>
  <c r="H29" i="17"/>
  <c r="I38" i="17"/>
  <c r="H38" i="17"/>
  <c r="I37" i="17"/>
  <c r="H37" i="17"/>
  <c r="I36" i="17"/>
  <c r="H36" i="17"/>
  <c r="I35" i="17"/>
  <c r="H35" i="17"/>
  <c r="I34" i="17"/>
  <c r="H34" i="17"/>
  <c r="I45" i="17"/>
  <c r="H45" i="17"/>
  <c r="I44" i="17"/>
  <c r="H44" i="17"/>
  <c r="I43" i="17"/>
  <c r="H43" i="17"/>
  <c r="I42" i="17"/>
  <c r="H42" i="17"/>
  <c r="I41" i="17"/>
  <c r="H41" i="17"/>
  <c r="I52" i="17"/>
  <c r="H52" i="17"/>
  <c r="I51" i="17"/>
  <c r="H51" i="17"/>
  <c r="I50" i="17"/>
  <c r="H50" i="17"/>
  <c r="I49" i="17"/>
  <c r="H49" i="17"/>
  <c r="I48" i="17"/>
  <c r="H48" i="17"/>
  <c r="I59" i="17"/>
  <c r="H59" i="17"/>
  <c r="I58" i="17"/>
  <c r="H58" i="17"/>
  <c r="I57" i="17"/>
  <c r="H57" i="17"/>
  <c r="I56" i="17"/>
  <c r="H56" i="17"/>
  <c r="I55" i="17"/>
  <c r="H55" i="17"/>
  <c r="I65" i="17"/>
  <c r="H65" i="17"/>
  <c r="I64" i="17"/>
  <c r="H64" i="17"/>
  <c r="I63" i="17"/>
  <c r="H63" i="17"/>
  <c r="I62" i="17"/>
  <c r="H62" i="17"/>
  <c r="I72" i="17"/>
  <c r="H72" i="17"/>
  <c r="I71" i="17"/>
  <c r="H71" i="17"/>
  <c r="I70" i="17"/>
  <c r="H70" i="17"/>
  <c r="I69" i="17"/>
  <c r="H69" i="17"/>
  <c r="I68" i="17"/>
  <c r="H68" i="17"/>
  <c r="I78" i="17"/>
  <c r="H78" i="17"/>
  <c r="I77" i="17"/>
  <c r="H77" i="17"/>
  <c r="I76" i="17"/>
  <c r="H76" i="17"/>
  <c r="I75" i="17"/>
  <c r="H75" i="17"/>
  <c r="I84" i="17"/>
  <c r="H84" i="17"/>
  <c r="I83" i="17"/>
  <c r="H83" i="17"/>
  <c r="I82" i="17"/>
  <c r="H82" i="17"/>
  <c r="I81" i="17"/>
  <c r="H81" i="17"/>
  <c r="I90" i="17"/>
  <c r="H90" i="17"/>
  <c r="I89" i="17"/>
  <c r="H89" i="17"/>
  <c r="I88" i="17"/>
  <c r="H88" i="17"/>
  <c r="I87" i="17"/>
  <c r="H87" i="17"/>
  <c r="I97" i="17"/>
  <c r="H97" i="17"/>
  <c r="I96" i="17"/>
  <c r="H96" i="17"/>
  <c r="I95" i="17"/>
  <c r="H95" i="17"/>
  <c r="I94" i="17"/>
  <c r="H94" i="17"/>
  <c r="I93" i="17"/>
  <c r="H93" i="17"/>
  <c r="I104" i="17"/>
  <c r="H104" i="17"/>
  <c r="I103" i="17"/>
  <c r="H103" i="17"/>
  <c r="I102" i="17"/>
  <c r="H102" i="17"/>
  <c r="I101" i="17"/>
  <c r="H101" i="17"/>
  <c r="I100" i="17"/>
  <c r="H100" i="17"/>
  <c r="I112" i="17"/>
  <c r="H112" i="17"/>
  <c r="I111" i="17"/>
  <c r="H111" i="17"/>
  <c r="I110" i="17"/>
  <c r="H110" i="17"/>
  <c r="I109" i="17"/>
  <c r="H109" i="17"/>
  <c r="I108" i="17"/>
  <c r="H108" i="17"/>
  <c r="I107" i="17"/>
  <c r="H107" i="17"/>
  <c r="I120" i="17"/>
  <c r="H120" i="17"/>
  <c r="I119" i="17"/>
  <c r="H119" i="17"/>
  <c r="I118" i="17"/>
  <c r="H118" i="17"/>
  <c r="I117" i="17"/>
  <c r="H117" i="17"/>
  <c r="I116" i="17"/>
  <c r="H116" i="17"/>
  <c r="I115" i="17"/>
  <c r="H115" i="17"/>
  <c r="I126" i="17"/>
  <c r="H126" i="17"/>
  <c r="I125" i="17"/>
  <c r="H125" i="17"/>
  <c r="I124" i="17"/>
  <c r="H124" i="17"/>
  <c r="I123" i="17"/>
  <c r="H123" i="17"/>
  <c r="I133" i="17"/>
  <c r="H133" i="17"/>
  <c r="I132" i="17"/>
  <c r="H132" i="17"/>
  <c r="I131" i="17"/>
  <c r="H131" i="17"/>
  <c r="I130" i="17"/>
  <c r="H130" i="17"/>
  <c r="I129" i="17"/>
  <c r="H129" i="17"/>
  <c r="I141" i="17"/>
  <c r="H141" i="17"/>
  <c r="I140" i="17"/>
  <c r="H140" i="17"/>
  <c r="I139" i="17"/>
  <c r="H139" i="17"/>
  <c r="I138" i="17"/>
  <c r="H138" i="17"/>
  <c r="I137" i="17"/>
  <c r="H137" i="17"/>
  <c r="I136" i="17"/>
  <c r="H136" i="17"/>
  <c r="I148" i="17"/>
  <c r="H148" i="17"/>
  <c r="I147" i="17"/>
  <c r="H147" i="17"/>
  <c r="I146" i="17"/>
  <c r="H146" i="17"/>
  <c r="I145" i="17"/>
  <c r="H145" i="17"/>
  <c r="I144" i="17"/>
  <c r="H144" i="17"/>
  <c r="I159" i="17"/>
  <c r="H159" i="17"/>
  <c r="I158" i="17"/>
  <c r="H158" i="17"/>
  <c r="I157" i="17"/>
  <c r="H157" i="17"/>
  <c r="I156" i="17"/>
  <c r="H156" i="17"/>
  <c r="I155" i="17"/>
  <c r="H155" i="17"/>
  <c r="I154" i="17"/>
  <c r="H154" i="17"/>
  <c r="I153" i="17"/>
  <c r="H153" i="17"/>
  <c r="I152" i="17"/>
  <c r="H152" i="17"/>
  <c r="I151" i="17"/>
  <c r="H151" i="17"/>
  <c r="I164" i="17"/>
  <c r="H164" i="17"/>
  <c r="I163" i="17"/>
  <c r="H163" i="17"/>
  <c r="I162" i="17"/>
  <c r="H162" i="17"/>
  <c r="I175" i="17"/>
  <c r="H175" i="17"/>
  <c r="I174" i="17"/>
  <c r="H174" i="17"/>
  <c r="I173" i="17"/>
  <c r="H173" i="17"/>
  <c r="I172" i="17"/>
  <c r="H172" i="17"/>
  <c r="I171" i="17"/>
  <c r="H171" i="17"/>
  <c r="I170" i="17"/>
  <c r="H170" i="17"/>
  <c r="I169" i="17"/>
  <c r="H169" i="17"/>
  <c r="I168" i="17"/>
  <c r="H168" i="17"/>
  <c r="I167" i="17"/>
  <c r="H167" i="17"/>
  <c r="I185" i="17"/>
  <c r="H185" i="17"/>
  <c r="I184" i="17"/>
  <c r="H184" i="17"/>
  <c r="I183" i="17"/>
  <c r="H183" i="17"/>
  <c r="I182" i="17"/>
  <c r="H182" i="17"/>
  <c r="I181" i="17"/>
  <c r="H181" i="17"/>
  <c r="I180" i="17"/>
  <c r="H180" i="17"/>
  <c r="I179" i="17"/>
  <c r="H179" i="17"/>
  <c r="I178" i="17"/>
  <c r="H178" i="17"/>
  <c r="I198" i="17"/>
  <c r="H198" i="17"/>
  <c r="I197" i="17"/>
  <c r="H197" i="17"/>
  <c r="I196" i="17"/>
  <c r="H196" i="17"/>
  <c r="I195" i="17"/>
  <c r="H195" i="17"/>
  <c r="I194" i="17"/>
  <c r="H194" i="17"/>
  <c r="I193" i="17"/>
  <c r="H193" i="17"/>
  <c r="I192" i="17"/>
  <c r="H192" i="17"/>
  <c r="I191" i="17"/>
  <c r="H191" i="17"/>
  <c r="I190" i="17"/>
  <c r="H190" i="17"/>
  <c r="I189" i="17"/>
  <c r="H189" i="17"/>
  <c r="I188" i="17"/>
  <c r="H188" i="17"/>
  <c r="I205" i="17"/>
  <c r="H205" i="17"/>
  <c r="I204" i="17"/>
  <c r="H204" i="17"/>
  <c r="I203" i="17"/>
  <c r="H203" i="17"/>
  <c r="I202" i="17"/>
  <c r="H202" i="17"/>
  <c r="I201" i="17"/>
  <c r="H201" i="17"/>
  <c r="I212" i="17"/>
  <c r="H212" i="17"/>
  <c r="I211" i="17"/>
  <c r="H211" i="17"/>
  <c r="I210" i="17"/>
  <c r="H210" i="17"/>
  <c r="I209" i="17"/>
  <c r="H209" i="17"/>
  <c r="I208" i="17"/>
  <c r="H208" i="17"/>
  <c r="I219" i="17"/>
  <c r="H219" i="17"/>
  <c r="I218" i="17"/>
  <c r="H218" i="17"/>
  <c r="I217" i="17"/>
  <c r="H217" i="17"/>
  <c r="I216" i="17"/>
  <c r="H216" i="17"/>
  <c r="I215" i="17"/>
  <c r="H215" i="17"/>
  <c r="I228" i="17"/>
  <c r="H228" i="17"/>
  <c r="I227" i="17"/>
  <c r="H227" i="17"/>
  <c r="I226" i="17"/>
  <c r="H226" i="17"/>
  <c r="I225" i="17"/>
  <c r="H225" i="17"/>
  <c r="I224" i="17"/>
  <c r="H224" i="17"/>
  <c r="I223" i="17"/>
  <c r="H223" i="17"/>
  <c r="I222" i="17"/>
  <c r="H222" i="17"/>
  <c r="I237" i="17"/>
  <c r="H237" i="17"/>
  <c r="I236" i="17"/>
  <c r="H236" i="17"/>
  <c r="I235" i="17"/>
  <c r="H235" i="17"/>
  <c r="I234" i="17"/>
  <c r="H234" i="17"/>
  <c r="I233" i="17"/>
  <c r="H233" i="17"/>
  <c r="I232" i="17"/>
  <c r="H232" i="17"/>
  <c r="I231" i="17"/>
  <c r="H231" i="17"/>
  <c r="I246" i="17"/>
  <c r="H246" i="17"/>
  <c r="I245" i="17"/>
  <c r="H245" i="17"/>
  <c r="I244" i="17"/>
  <c r="H244" i="17"/>
  <c r="I243" i="17"/>
  <c r="H243" i="17"/>
  <c r="I242" i="17"/>
  <c r="H242" i="17"/>
  <c r="I241" i="17"/>
  <c r="H241" i="17"/>
  <c r="I240" i="17"/>
  <c r="H240" i="17"/>
  <c r="I259" i="17"/>
  <c r="H259" i="17"/>
  <c r="I258" i="17"/>
  <c r="H258" i="17"/>
  <c r="I257" i="17"/>
  <c r="H257" i="17"/>
  <c r="I256" i="17"/>
  <c r="H256" i="17"/>
  <c r="I255" i="17"/>
  <c r="H255" i="17"/>
  <c r="I254" i="17"/>
  <c r="H254" i="17"/>
  <c r="I253" i="17"/>
  <c r="H253" i="17"/>
  <c r="I252" i="17"/>
  <c r="H252" i="17"/>
  <c r="I251" i="17"/>
  <c r="H251" i="17"/>
  <c r="I250" i="17"/>
  <c r="H250" i="17"/>
  <c r="I249" i="17"/>
  <c r="H249" i="17"/>
  <c r="I272" i="17"/>
  <c r="H272" i="17"/>
  <c r="I271" i="17"/>
  <c r="H271" i="17"/>
  <c r="I270" i="17"/>
  <c r="H270" i="17"/>
  <c r="I269" i="17"/>
  <c r="H269" i="17"/>
  <c r="I268" i="17"/>
  <c r="H268" i="17"/>
  <c r="I267" i="17"/>
  <c r="H267" i="17"/>
  <c r="I266" i="17"/>
  <c r="H266" i="17"/>
  <c r="I265" i="17"/>
  <c r="H265" i="17"/>
  <c r="I264" i="17"/>
  <c r="H264" i="17"/>
  <c r="I263" i="17"/>
  <c r="H263" i="17"/>
  <c r="I262" i="17"/>
  <c r="H262" i="17"/>
  <c r="I282" i="17"/>
  <c r="H282" i="17"/>
  <c r="I281" i="17"/>
  <c r="H281" i="17"/>
  <c r="I280" i="17"/>
  <c r="H280" i="17"/>
  <c r="I279" i="17"/>
  <c r="H279" i="17"/>
  <c r="I278" i="17"/>
  <c r="H278" i="17"/>
  <c r="I277" i="17"/>
  <c r="H277" i="17"/>
  <c r="I276" i="17"/>
  <c r="H276" i="17"/>
  <c r="I275" i="17"/>
  <c r="H275" i="17"/>
  <c r="I292" i="17"/>
  <c r="H292" i="17"/>
  <c r="H291" i="17"/>
  <c r="I290" i="17"/>
  <c r="H290" i="17"/>
  <c r="I289" i="17"/>
  <c r="H289" i="17"/>
  <c r="I288" i="17"/>
  <c r="H288" i="17"/>
  <c r="I287" i="17"/>
  <c r="H287" i="17"/>
  <c r="I286" i="17"/>
  <c r="H286" i="17"/>
  <c r="I285" i="17"/>
  <c r="H285" i="17"/>
  <c r="I302" i="17"/>
  <c r="H302" i="17"/>
  <c r="I301" i="17"/>
  <c r="H301" i="17"/>
  <c r="I300" i="17"/>
  <c r="H300" i="17"/>
  <c r="I299" i="17"/>
  <c r="H299" i="17"/>
  <c r="I298" i="17"/>
  <c r="H298" i="17"/>
  <c r="I297" i="17"/>
  <c r="H297" i="17"/>
  <c r="I296" i="17"/>
  <c r="H296" i="17"/>
  <c r="I295" i="17"/>
  <c r="H295" i="17"/>
  <c r="I310" i="17"/>
  <c r="H310" i="17"/>
  <c r="I309" i="17"/>
  <c r="H309" i="17"/>
  <c r="I308" i="17"/>
  <c r="H308" i="17"/>
  <c r="I307" i="17"/>
  <c r="H307" i="17"/>
  <c r="I306" i="17"/>
  <c r="H306" i="17"/>
  <c r="I305" i="17"/>
  <c r="H305" i="17"/>
  <c r="I320" i="17"/>
  <c r="H320" i="17"/>
  <c r="I319" i="17"/>
  <c r="H319" i="17"/>
  <c r="I318" i="17"/>
  <c r="H318" i="17"/>
  <c r="I317" i="17"/>
  <c r="H317" i="17"/>
  <c r="I316" i="17"/>
  <c r="H316" i="17"/>
  <c r="I315" i="17"/>
  <c r="H315" i="17"/>
  <c r="I314" i="17"/>
  <c r="H314" i="17"/>
  <c r="I313" i="17"/>
  <c r="H313" i="17"/>
  <c r="I330" i="17"/>
  <c r="H330" i="17"/>
  <c r="I329" i="17"/>
  <c r="H329" i="17"/>
  <c r="I328" i="17"/>
  <c r="H328" i="17"/>
  <c r="I327" i="17"/>
  <c r="H327" i="17"/>
  <c r="I326" i="17"/>
  <c r="H326" i="17"/>
  <c r="I325" i="17"/>
  <c r="H325" i="17"/>
  <c r="I324" i="17"/>
  <c r="H324" i="17"/>
  <c r="I323" i="17"/>
  <c r="H323" i="17"/>
  <c r="I340" i="17"/>
  <c r="H340" i="17"/>
  <c r="I339" i="17"/>
  <c r="H339" i="17"/>
  <c r="I338" i="17"/>
  <c r="H338" i="17"/>
  <c r="I337" i="17"/>
  <c r="H337" i="17"/>
  <c r="I336" i="17"/>
  <c r="H336" i="17"/>
  <c r="I335" i="17"/>
  <c r="H335" i="17"/>
  <c r="I334" i="17"/>
  <c r="H334" i="17"/>
  <c r="I333" i="17"/>
  <c r="H333" i="17"/>
  <c r="I350" i="17"/>
  <c r="H350" i="17"/>
  <c r="I349" i="17"/>
  <c r="H349" i="17"/>
  <c r="I348" i="17"/>
  <c r="H348" i="17"/>
  <c r="I347" i="17"/>
  <c r="H347" i="17"/>
  <c r="I346" i="17"/>
  <c r="H346" i="17"/>
  <c r="I345" i="17"/>
  <c r="H345" i="17"/>
  <c r="I344" i="17"/>
  <c r="H344" i="17"/>
  <c r="I343" i="17"/>
  <c r="H343" i="17"/>
  <c r="I360" i="17"/>
  <c r="H360" i="17"/>
  <c r="I359" i="17"/>
  <c r="H359" i="17"/>
  <c r="I358" i="17"/>
  <c r="H358" i="17"/>
  <c r="I357" i="17"/>
  <c r="H357" i="17"/>
  <c r="I356" i="17"/>
  <c r="H356" i="17"/>
  <c r="I355" i="17"/>
  <c r="H355" i="17"/>
  <c r="I354" i="17"/>
  <c r="H354" i="17"/>
  <c r="I353" i="17"/>
  <c r="H353" i="17"/>
  <c r="I372" i="17"/>
  <c r="H372" i="17"/>
  <c r="I371" i="17"/>
  <c r="H371" i="17"/>
  <c r="I370" i="17"/>
  <c r="H370" i="17"/>
  <c r="I369" i="17"/>
  <c r="H369" i="17"/>
  <c r="I368" i="17"/>
  <c r="H368" i="17"/>
  <c r="I367" i="17"/>
  <c r="H367" i="17"/>
  <c r="I366" i="17"/>
  <c r="H366" i="17"/>
  <c r="I365" i="17"/>
  <c r="H365" i="17"/>
  <c r="I364" i="17"/>
  <c r="H364" i="17"/>
  <c r="I363" i="17"/>
  <c r="H363" i="17"/>
  <c r="I384" i="17"/>
  <c r="H384" i="17"/>
  <c r="I383" i="17"/>
  <c r="H383" i="17"/>
  <c r="I382" i="17"/>
  <c r="H382" i="17"/>
  <c r="I381" i="17"/>
  <c r="H381" i="17"/>
  <c r="I380" i="17"/>
  <c r="H380" i="17"/>
  <c r="I379" i="17"/>
  <c r="H379" i="17"/>
  <c r="I378" i="17"/>
  <c r="H378" i="17"/>
  <c r="I377" i="17"/>
  <c r="H377" i="17"/>
  <c r="I376" i="17"/>
  <c r="H376" i="17"/>
  <c r="I375" i="17"/>
  <c r="H375" i="17"/>
  <c r="I396" i="17"/>
  <c r="H396" i="17"/>
  <c r="I395" i="17"/>
  <c r="H395" i="17"/>
  <c r="I394" i="17"/>
  <c r="H394" i="17"/>
  <c r="I393" i="17"/>
  <c r="H393" i="17"/>
  <c r="I392" i="17"/>
  <c r="H392" i="17"/>
  <c r="I391" i="17"/>
  <c r="H391" i="17"/>
  <c r="I390" i="17"/>
  <c r="H390" i="17"/>
  <c r="I389" i="17"/>
  <c r="H389" i="17"/>
  <c r="I388" i="17"/>
  <c r="H388" i="17"/>
  <c r="I387" i="17"/>
  <c r="H387" i="17"/>
  <c r="I406" i="17"/>
  <c r="H406" i="17"/>
  <c r="I405" i="17"/>
  <c r="H405" i="17"/>
  <c r="I404" i="17"/>
  <c r="H404" i="17"/>
  <c r="I403" i="17"/>
  <c r="H403" i="17"/>
  <c r="I402" i="17"/>
  <c r="H402" i="17"/>
  <c r="I401" i="17"/>
  <c r="H401" i="17"/>
  <c r="I400" i="17"/>
  <c r="H400" i="17"/>
  <c r="I399" i="17"/>
  <c r="H399" i="17"/>
  <c r="I425" i="17"/>
  <c r="H425" i="17"/>
  <c r="I424" i="17"/>
  <c r="H424" i="17"/>
  <c r="I423" i="17"/>
  <c r="H423" i="17"/>
  <c r="I422" i="17"/>
  <c r="H422" i="17"/>
  <c r="I421" i="17"/>
  <c r="H421" i="17"/>
  <c r="I420" i="17"/>
  <c r="H420" i="17"/>
  <c r="I419" i="17"/>
  <c r="H419" i="17"/>
  <c r="I418" i="17"/>
  <c r="H418" i="17"/>
  <c r="I417" i="17"/>
  <c r="H417" i="17"/>
  <c r="I416" i="17"/>
  <c r="H416" i="17"/>
  <c r="I415" i="17"/>
  <c r="H415" i="17"/>
  <c r="I414" i="17"/>
  <c r="H414" i="17"/>
  <c r="I413" i="17"/>
  <c r="H413" i="17"/>
  <c r="I412" i="17"/>
  <c r="H412" i="17"/>
  <c r="I411" i="17"/>
  <c r="H411" i="17"/>
  <c r="I410" i="17"/>
  <c r="H410" i="17"/>
  <c r="I409" i="17"/>
  <c r="H409" i="17"/>
  <c r="I444" i="17"/>
  <c r="H444" i="17"/>
  <c r="I443" i="17"/>
  <c r="H443" i="17"/>
  <c r="I442" i="17"/>
  <c r="H442" i="17"/>
  <c r="I441" i="17"/>
  <c r="H441" i="17"/>
  <c r="I440" i="17"/>
  <c r="H440" i="17"/>
  <c r="I439" i="17"/>
  <c r="H439" i="17"/>
  <c r="I438" i="17"/>
  <c r="H438" i="17"/>
  <c r="I437" i="17"/>
  <c r="H437" i="17"/>
  <c r="I436" i="17"/>
  <c r="H436" i="17"/>
  <c r="I435" i="17"/>
  <c r="H435" i="17"/>
  <c r="I434" i="17"/>
  <c r="H434" i="17"/>
  <c r="I433" i="17"/>
  <c r="H433" i="17"/>
  <c r="I432" i="17"/>
  <c r="H432" i="17"/>
  <c r="I431" i="17"/>
  <c r="H431" i="17"/>
  <c r="I430" i="17"/>
  <c r="H430" i="17"/>
  <c r="I429" i="17"/>
  <c r="H429" i="17"/>
  <c r="I428" i="17"/>
  <c r="H428" i="17"/>
  <c r="I464" i="17"/>
  <c r="H464" i="17"/>
  <c r="I463" i="17"/>
  <c r="H463" i="17"/>
  <c r="I462" i="17"/>
  <c r="H462" i="17"/>
  <c r="I461" i="17"/>
  <c r="H461" i="17"/>
  <c r="I460" i="17"/>
  <c r="H460" i="17"/>
  <c r="I459" i="17"/>
  <c r="H459" i="17"/>
  <c r="I458" i="17"/>
  <c r="H458" i="17"/>
  <c r="I457" i="17"/>
  <c r="H457" i="17"/>
  <c r="I456" i="17"/>
  <c r="H456" i="17"/>
  <c r="I455" i="17"/>
  <c r="H455" i="17"/>
  <c r="I454" i="17"/>
  <c r="H454" i="17"/>
  <c r="I453" i="17"/>
  <c r="H453" i="17"/>
  <c r="I452" i="17"/>
  <c r="H452" i="17"/>
  <c r="I451" i="17"/>
  <c r="H451" i="17"/>
  <c r="I450" i="17"/>
  <c r="H450" i="17"/>
  <c r="I449" i="17"/>
  <c r="H449" i="17"/>
  <c r="I448" i="17"/>
  <c r="H448" i="17"/>
  <c r="I447" i="17"/>
  <c r="H447" i="17"/>
  <c r="I484" i="17"/>
  <c r="H484" i="17"/>
  <c r="I483" i="17"/>
  <c r="H483" i="17"/>
  <c r="I482" i="17"/>
  <c r="H482" i="17"/>
  <c r="I481" i="17"/>
  <c r="H481" i="17"/>
  <c r="I480" i="17"/>
  <c r="H480" i="17"/>
  <c r="I479" i="17"/>
  <c r="H479" i="17"/>
  <c r="I478" i="17"/>
  <c r="H478" i="17"/>
  <c r="I477" i="17"/>
  <c r="H477" i="17"/>
  <c r="I476" i="17"/>
  <c r="H476" i="17"/>
  <c r="I475" i="17"/>
  <c r="H475" i="17"/>
  <c r="I474" i="17"/>
  <c r="H474" i="17"/>
  <c r="I473" i="17"/>
  <c r="H473" i="17"/>
  <c r="I472" i="17"/>
  <c r="H472" i="17"/>
  <c r="I471" i="17"/>
  <c r="H471" i="17"/>
  <c r="I470" i="17"/>
  <c r="H470" i="17"/>
  <c r="I469" i="17"/>
  <c r="H469" i="17"/>
  <c r="I468" i="17"/>
  <c r="H468" i="17"/>
  <c r="I467" i="17"/>
  <c r="H467" i="17"/>
  <c r="I504" i="17"/>
  <c r="H504" i="17"/>
  <c r="I503" i="17"/>
  <c r="H503" i="17"/>
  <c r="I502" i="17"/>
  <c r="H502" i="17"/>
  <c r="I501" i="17"/>
  <c r="H501" i="17"/>
  <c r="I500" i="17"/>
  <c r="H500" i="17"/>
  <c r="I499" i="17"/>
  <c r="H499" i="17"/>
  <c r="I498" i="17"/>
  <c r="H498" i="17"/>
  <c r="I497" i="17"/>
  <c r="H497" i="17"/>
  <c r="I496" i="17"/>
  <c r="H496" i="17"/>
  <c r="I495" i="17"/>
  <c r="H495" i="17"/>
  <c r="I494" i="17"/>
  <c r="H494" i="17"/>
  <c r="I493" i="17"/>
  <c r="H493" i="17"/>
  <c r="I492" i="17"/>
  <c r="H492" i="17"/>
  <c r="I491" i="17"/>
  <c r="H491" i="17"/>
  <c r="I490" i="17"/>
  <c r="H490" i="17"/>
  <c r="I489" i="17"/>
  <c r="H489" i="17"/>
  <c r="I488" i="17"/>
  <c r="H488" i="17"/>
  <c r="I487" i="17"/>
  <c r="H487" i="17"/>
  <c r="I524" i="17"/>
  <c r="H524" i="17"/>
  <c r="I523" i="17"/>
  <c r="H523" i="17"/>
  <c r="I522" i="17"/>
  <c r="H522" i="17"/>
  <c r="I521" i="17"/>
  <c r="H521" i="17"/>
  <c r="I520" i="17"/>
  <c r="H520" i="17"/>
  <c r="I519" i="17"/>
  <c r="H519" i="17"/>
  <c r="I518" i="17"/>
  <c r="H518" i="17"/>
  <c r="I517" i="17"/>
  <c r="H517" i="17"/>
  <c r="I516" i="17"/>
  <c r="H516" i="17"/>
  <c r="I515" i="17"/>
  <c r="H515" i="17"/>
  <c r="I514" i="17"/>
  <c r="H514" i="17"/>
  <c r="I513" i="17"/>
  <c r="H513" i="17"/>
  <c r="I512" i="17"/>
  <c r="H512" i="17"/>
  <c r="I511" i="17"/>
  <c r="H511" i="17"/>
  <c r="I510" i="17"/>
  <c r="H510" i="17"/>
  <c r="I509" i="17"/>
  <c r="H509" i="17"/>
  <c r="I508" i="17"/>
  <c r="H508" i="17"/>
  <c r="I507" i="17"/>
  <c r="H507" i="17"/>
  <c r="I544" i="17"/>
  <c r="H544" i="17"/>
  <c r="I543" i="17"/>
  <c r="H543" i="17"/>
  <c r="I542" i="17"/>
  <c r="H542" i="17"/>
  <c r="I541" i="17"/>
  <c r="H541" i="17"/>
  <c r="I540" i="17"/>
  <c r="H540" i="17"/>
  <c r="I539" i="17"/>
  <c r="H539" i="17"/>
  <c r="I538" i="17"/>
  <c r="H538" i="17"/>
  <c r="I537" i="17"/>
  <c r="H537" i="17"/>
  <c r="I536" i="17"/>
  <c r="H536" i="17"/>
  <c r="I535" i="17"/>
  <c r="H535" i="17"/>
  <c r="I534" i="17"/>
  <c r="H534" i="17"/>
  <c r="I533" i="17"/>
  <c r="H533" i="17"/>
  <c r="I532" i="17"/>
  <c r="H532" i="17"/>
  <c r="I531" i="17"/>
  <c r="H531" i="17"/>
  <c r="I530" i="17"/>
  <c r="H530" i="17"/>
  <c r="I529" i="17"/>
  <c r="H529" i="17"/>
  <c r="I528" i="17"/>
  <c r="H528" i="17"/>
  <c r="I527" i="17"/>
  <c r="H527" i="17"/>
  <c r="I564" i="17"/>
  <c r="H564" i="17"/>
  <c r="I563" i="17"/>
  <c r="H563" i="17"/>
  <c r="I562" i="17"/>
  <c r="H562" i="17"/>
  <c r="I561" i="17"/>
  <c r="H561" i="17"/>
  <c r="I560" i="17"/>
  <c r="H560" i="17"/>
  <c r="I559" i="17"/>
  <c r="H559" i="17"/>
  <c r="I558" i="17"/>
  <c r="H558" i="17"/>
  <c r="I557" i="17"/>
  <c r="H557" i="17"/>
  <c r="I556" i="17"/>
  <c r="H556" i="17"/>
  <c r="I555" i="17"/>
  <c r="H555" i="17"/>
  <c r="I554" i="17"/>
  <c r="H554" i="17"/>
  <c r="I553" i="17"/>
  <c r="H553" i="17"/>
  <c r="I552" i="17"/>
  <c r="H552" i="17"/>
  <c r="I551" i="17"/>
  <c r="H551" i="17"/>
  <c r="I550" i="17"/>
  <c r="H550" i="17"/>
  <c r="I549" i="17"/>
  <c r="H549" i="17"/>
  <c r="I548" i="17"/>
  <c r="H548" i="17"/>
  <c r="I547" i="17"/>
  <c r="H547" i="17"/>
  <c r="I584" i="17"/>
  <c r="H584" i="17"/>
  <c r="I583" i="17"/>
  <c r="H583" i="17"/>
  <c r="I582" i="17"/>
  <c r="H582" i="17"/>
  <c r="I581" i="17"/>
  <c r="H581" i="17"/>
  <c r="I580" i="17"/>
  <c r="H580" i="17"/>
  <c r="I579" i="17"/>
  <c r="H579" i="17"/>
  <c r="I578" i="17"/>
  <c r="H578" i="17"/>
  <c r="I577" i="17"/>
  <c r="H577" i="17"/>
  <c r="I576" i="17"/>
  <c r="H576" i="17"/>
  <c r="I575" i="17"/>
  <c r="H575" i="17"/>
  <c r="I574" i="17"/>
  <c r="H574" i="17"/>
  <c r="I573" i="17"/>
  <c r="H573" i="17"/>
  <c r="I572" i="17"/>
  <c r="H572" i="17"/>
  <c r="I571" i="17"/>
  <c r="H571" i="17"/>
  <c r="I570" i="17"/>
  <c r="H570" i="17"/>
  <c r="I569" i="17"/>
  <c r="H569" i="17"/>
  <c r="I568" i="17"/>
  <c r="H568" i="17"/>
  <c r="I567" i="17"/>
  <c r="H567" i="17"/>
  <c r="I604" i="17"/>
  <c r="H604" i="17"/>
  <c r="I603" i="17"/>
  <c r="H603" i="17"/>
  <c r="I602" i="17"/>
  <c r="H602" i="17"/>
  <c r="I601" i="17"/>
  <c r="H601" i="17"/>
  <c r="I600" i="17"/>
  <c r="H600" i="17"/>
  <c r="I599" i="17"/>
  <c r="H599" i="17"/>
  <c r="I598" i="17"/>
  <c r="H598" i="17"/>
  <c r="I597" i="17"/>
  <c r="H597" i="17"/>
  <c r="I596" i="17"/>
  <c r="H596" i="17"/>
  <c r="I595" i="17"/>
  <c r="H595" i="17"/>
  <c r="I594" i="17"/>
  <c r="H594" i="17"/>
  <c r="I593" i="17"/>
  <c r="H593" i="17"/>
  <c r="I592" i="17"/>
  <c r="H592" i="17"/>
  <c r="I591" i="17"/>
  <c r="H591" i="17"/>
  <c r="I590" i="17"/>
  <c r="H590" i="17"/>
  <c r="I589" i="17"/>
  <c r="H589" i="17"/>
  <c r="I588" i="17"/>
  <c r="H588" i="17"/>
  <c r="I587" i="17"/>
  <c r="H587" i="17"/>
  <c r="I624" i="17"/>
  <c r="H624" i="17"/>
  <c r="I623" i="17"/>
  <c r="H623" i="17"/>
  <c r="I622" i="17"/>
  <c r="H622" i="17"/>
  <c r="I621" i="17"/>
  <c r="H621" i="17"/>
  <c r="I620" i="17"/>
  <c r="H620" i="17"/>
  <c r="I619" i="17"/>
  <c r="H619" i="17"/>
  <c r="I618" i="17"/>
  <c r="H618" i="17"/>
  <c r="I617" i="17"/>
  <c r="H617" i="17"/>
  <c r="I616" i="17"/>
  <c r="H616" i="17"/>
  <c r="I615" i="17"/>
  <c r="H615" i="17"/>
  <c r="I614" i="17"/>
  <c r="H614" i="17"/>
  <c r="I613" i="17"/>
  <c r="H613" i="17"/>
  <c r="I612" i="17"/>
  <c r="H612" i="17"/>
  <c r="I611" i="17"/>
  <c r="H611" i="17"/>
  <c r="I610" i="17"/>
  <c r="H610" i="17"/>
  <c r="I609" i="17"/>
  <c r="H609" i="17"/>
  <c r="I608" i="17"/>
  <c r="H608" i="17"/>
  <c r="I607" i="17"/>
  <c r="H607" i="17"/>
  <c r="I644" i="17"/>
  <c r="H644" i="17"/>
  <c r="I643" i="17"/>
  <c r="H643" i="17"/>
  <c r="I642" i="17"/>
  <c r="H642" i="17"/>
  <c r="I641" i="17"/>
  <c r="H641" i="17"/>
  <c r="I640" i="17"/>
  <c r="H640" i="17"/>
  <c r="I639" i="17"/>
  <c r="H639" i="17"/>
  <c r="I638" i="17"/>
  <c r="H638" i="17"/>
  <c r="I637" i="17"/>
  <c r="H637" i="17"/>
  <c r="I636" i="17"/>
  <c r="H636" i="17"/>
  <c r="I635" i="17"/>
  <c r="H635" i="17"/>
  <c r="I634" i="17"/>
  <c r="H634" i="17"/>
  <c r="I633" i="17"/>
  <c r="H633" i="17"/>
  <c r="I632" i="17"/>
  <c r="H632" i="17"/>
  <c r="I631" i="17"/>
  <c r="H631" i="17"/>
  <c r="I630" i="17"/>
  <c r="H630" i="17"/>
  <c r="I629" i="17"/>
  <c r="H629" i="17"/>
  <c r="I628" i="17"/>
  <c r="H628" i="17"/>
  <c r="I627" i="17"/>
  <c r="H627" i="17"/>
  <c r="I664" i="17"/>
  <c r="H664" i="17"/>
  <c r="I663" i="17"/>
  <c r="H663" i="17"/>
  <c r="I662" i="17"/>
  <c r="H662" i="17"/>
  <c r="I661" i="17"/>
  <c r="H661" i="17"/>
  <c r="I660" i="17"/>
  <c r="H660" i="17"/>
  <c r="I659" i="17"/>
  <c r="H659" i="17"/>
  <c r="I658" i="17"/>
  <c r="H658" i="17"/>
  <c r="I657" i="17"/>
  <c r="H657" i="17"/>
  <c r="I656" i="17"/>
  <c r="H656" i="17"/>
  <c r="I655" i="17"/>
  <c r="H655" i="17"/>
  <c r="I654" i="17"/>
  <c r="H654" i="17"/>
  <c r="I653" i="17"/>
  <c r="H653" i="17"/>
  <c r="I652" i="17"/>
  <c r="H652" i="17"/>
  <c r="I651" i="17"/>
  <c r="H651" i="17"/>
  <c r="I650" i="17"/>
  <c r="H650" i="17"/>
  <c r="I649" i="17"/>
  <c r="H649" i="17"/>
  <c r="I648" i="17"/>
  <c r="H648" i="17"/>
  <c r="I647" i="17"/>
  <c r="H647" i="17"/>
  <c r="I674" i="17"/>
  <c r="H674" i="17"/>
  <c r="I673" i="17"/>
  <c r="H673" i="17"/>
  <c r="I672" i="17"/>
  <c r="H672" i="17"/>
  <c r="I671" i="17"/>
  <c r="H671" i="17"/>
  <c r="I670" i="17"/>
  <c r="H670" i="17"/>
  <c r="I669" i="17"/>
  <c r="H669" i="17"/>
  <c r="I668" i="17"/>
  <c r="H668" i="17"/>
  <c r="I667" i="17"/>
  <c r="H667" i="17"/>
  <c r="I684" i="17"/>
  <c r="H684" i="17"/>
  <c r="I683" i="17"/>
  <c r="H683" i="17"/>
  <c r="I682" i="17"/>
  <c r="H682" i="17"/>
  <c r="I681" i="17"/>
  <c r="H681" i="17"/>
  <c r="I680" i="17"/>
  <c r="H680" i="17"/>
  <c r="I679" i="17"/>
  <c r="H679" i="17"/>
  <c r="I678" i="17"/>
  <c r="H678" i="17"/>
  <c r="I677" i="17"/>
  <c r="H677" i="17"/>
  <c r="I696" i="17"/>
  <c r="H696" i="17"/>
  <c r="I695" i="17"/>
  <c r="H695" i="17"/>
  <c r="I694" i="17"/>
  <c r="H694" i="17"/>
  <c r="I693" i="17"/>
  <c r="H693" i="17"/>
  <c r="I692" i="17"/>
  <c r="H692" i="17"/>
  <c r="I691" i="17"/>
  <c r="H691" i="17"/>
  <c r="I690" i="17"/>
  <c r="H690" i="17"/>
  <c r="I689" i="17"/>
  <c r="H689" i="17"/>
  <c r="I688" i="17"/>
  <c r="H688" i="17"/>
  <c r="I687" i="17"/>
  <c r="H687" i="17"/>
  <c r="I708" i="17"/>
  <c r="H708" i="17"/>
  <c r="I707" i="17"/>
  <c r="H707" i="17"/>
  <c r="I706" i="17"/>
  <c r="H706" i="17"/>
  <c r="I705" i="17"/>
  <c r="H705" i="17"/>
  <c r="I704" i="17"/>
  <c r="H704" i="17"/>
  <c r="I703" i="17"/>
  <c r="H703" i="17"/>
  <c r="I702" i="17"/>
  <c r="H702" i="17"/>
  <c r="I701" i="17"/>
  <c r="H701" i="17"/>
  <c r="I700" i="17"/>
  <c r="H700" i="17"/>
  <c r="I699" i="17"/>
  <c r="H699" i="17"/>
  <c r="I722" i="17"/>
  <c r="H722" i="17"/>
  <c r="I721" i="17"/>
  <c r="H721" i="17"/>
  <c r="I720" i="17"/>
  <c r="H720" i="17"/>
  <c r="I719" i="17"/>
  <c r="H719" i="17"/>
  <c r="I718" i="17"/>
  <c r="H718" i="17"/>
  <c r="I717" i="17"/>
  <c r="H717" i="17"/>
  <c r="I716" i="17"/>
  <c r="H716" i="17"/>
  <c r="I715" i="17"/>
  <c r="H715" i="17"/>
  <c r="I714" i="17"/>
  <c r="H714" i="17"/>
  <c r="I713" i="17"/>
  <c r="H713" i="17"/>
  <c r="I712" i="17"/>
  <c r="H712" i="17"/>
  <c r="I711" i="17"/>
  <c r="H711" i="17"/>
  <c r="I736" i="17"/>
  <c r="H736" i="17"/>
  <c r="I735" i="17"/>
  <c r="H735" i="17"/>
  <c r="I734" i="17"/>
  <c r="H734" i="17"/>
  <c r="I733" i="17"/>
  <c r="H733" i="17"/>
  <c r="I732" i="17"/>
  <c r="H732" i="17"/>
  <c r="I731" i="17"/>
  <c r="H731" i="17"/>
  <c r="I730" i="17"/>
  <c r="H730" i="17"/>
  <c r="I729" i="17"/>
  <c r="H729" i="17"/>
  <c r="I728" i="17"/>
  <c r="H728" i="17"/>
  <c r="I727" i="17"/>
  <c r="H727" i="17"/>
  <c r="I726" i="17"/>
  <c r="H726" i="17"/>
  <c r="I725" i="17"/>
  <c r="H725" i="17"/>
  <c r="I744" i="17"/>
  <c r="H744" i="17"/>
  <c r="I743" i="17"/>
  <c r="H743" i="17"/>
  <c r="I742" i="17"/>
  <c r="H742" i="17"/>
  <c r="I741" i="17"/>
  <c r="H741" i="17"/>
  <c r="I740" i="17"/>
  <c r="H740" i="17"/>
  <c r="I739" i="17"/>
  <c r="H739" i="17"/>
  <c r="I752" i="17"/>
  <c r="H752" i="17"/>
  <c r="I751" i="17"/>
  <c r="H751" i="17"/>
  <c r="I750" i="17"/>
  <c r="H750" i="17"/>
  <c r="I749" i="17"/>
  <c r="H749" i="17"/>
  <c r="I748" i="17"/>
  <c r="H748" i="17"/>
  <c r="I747" i="17"/>
  <c r="H747" i="17"/>
  <c r="I766" i="17"/>
  <c r="H766" i="17"/>
  <c r="I765" i="17"/>
  <c r="H765" i="17"/>
  <c r="I764" i="17"/>
  <c r="H764" i="17"/>
  <c r="I763" i="17"/>
  <c r="H763" i="17"/>
  <c r="I762" i="17"/>
  <c r="H762" i="17"/>
  <c r="I761" i="17"/>
  <c r="H761" i="17"/>
  <c r="I760" i="17"/>
  <c r="H760" i="17"/>
  <c r="I759" i="17"/>
  <c r="H759" i="17"/>
  <c r="I758" i="17"/>
  <c r="H758" i="17"/>
  <c r="I757" i="17"/>
  <c r="H757" i="17"/>
  <c r="I756" i="17"/>
  <c r="H756" i="17"/>
  <c r="I755" i="17"/>
  <c r="H755" i="17"/>
  <c r="I780" i="17"/>
  <c r="H780" i="17"/>
  <c r="I779" i="17"/>
  <c r="H779" i="17"/>
  <c r="I778" i="17"/>
  <c r="H778" i="17"/>
  <c r="I777" i="17"/>
  <c r="H777" i="17"/>
  <c r="I776" i="17"/>
  <c r="H776" i="17"/>
  <c r="I775" i="17"/>
  <c r="H775" i="17"/>
  <c r="I774" i="17"/>
  <c r="H774" i="17"/>
  <c r="I773" i="17"/>
  <c r="H773" i="17"/>
  <c r="I772" i="17"/>
  <c r="H772" i="17"/>
  <c r="I771" i="17"/>
  <c r="H771" i="17"/>
  <c r="I770" i="17"/>
  <c r="H770" i="17"/>
  <c r="I769" i="17"/>
  <c r="H769" i="17"/>
  <c r="I788" i="17"/>
  <c r="H788" i="17"/>
  <c r="I787" i="17"/>
  <c r="H787" i="17"/>
  <c r="I786" i="17"/>
  <c r="H786" i="17"/>
  <c r="I785" i="17"/>
  <c r="H785" i="17"/>
  <c r="I784" i="17"/>
  <c r="H784" i="17"/>
  <c r="I783" i="17"/>
  <c r="H783" i="17"/>
  <c r="I794" i="17"/>
  <c r="H794" i="17"/>
  <c r="I793" i="17"/>
  <c r="H793" i="17"/>
  <c r="I792" i="17"/>
  <c r="H792" i="17"/>
  <c r="I791" i="17"/>
  <c r="H791" i="17"/>
  <c r="I795" i="17"/>
  <c r="H795" i="17"/>
  <c r="I796" i="17"/>
  <c r="H796" i="17"/>
</calcChain>
</file>

<file path=xl/sharedStrings.xml><?xml version="1.0" encoding="utf-8"?>
<sst xmlns="http://schemas.openxmlformats.org/spreadsheetml/2006/main" count="2284" uniqueCount="636">
  <si>
    <t>ControlJobID</t>
  </si>
  <si>
    <t>PortID</t>
  </si>
  <si>
    <t>LotID</t>
  </si>
  <si>
    <t>CarrierID</t>
  </si>
  <si>
    <t>LocationID</t>
  </si>
  <si>
    <t>EventName</t>
  </si>
  <si>
    <t>PortStateInfo</t>
  </si>
  <si>
    <t>CarrierIDStatus</t>
  </si>
  <si>
    <t>SlotMapStatus</t>
  </si>
  <si>
    <t>CarrierAccessingStatus</t>
  </si>
  <si>
    <t>ContentMap</t>
  </si>
  <si>
    <t>ControlJobState</t>
  </si>
  <si>
    <t>Vendor</t>
    <phoneticPr fontId="1" type="noConversion"/>
  </si>
  <si>
    <t>Model</t>
    <phoneticPr fontId="1" type="noConversion"/>
  </si>
  <si>
    <t>Index</t>
    <phoneticPr fontId="1" type="noConversion"/>
  </si>
  <si>
    <t>SEMI</t>
    <phoneticPr fontId="1" type="noConversion"/>
  </si>
  <si>
    <t xml:space="preserve">Event </t>
    <phoneticPr fontId="1" type="noConversion"/>
  </si>
  <si>
    <t>E87</t>
    <phoneticPr fontId="1" type="noConversion"/>
  </si>
  <si>
    <t>EventName</t>
    <phoneticPr fontId="1" type="noConversion"/>
  </si>
  <si>
    <t>CLOCK</t>
    <phoneticPr fontId="1" type="noConversion"/>
  </si>
  <si>
    <t>PortID</t>
    <phoneticPr fontId="1" type="noConversion"/>
  </si>
  <si>
    <t>UNOCCUPIED-&gt;UNDOCKED</t>
    <phoneticPr fontId="1" type="noConversion"/>
  </si>
  <si>
    <t>LoadCompleteReport</t>
    <phoneticPr fontId="1" type="noConversion"/>
  </si>
  <si>
    <t>UNCLAMPED-&gt;CLAMPED</t>
    <phoneticPr fontId="1" type="noConversion"/>
  </si>
  <si>
    <t>NOT ASSOCIATED-&gt;ASSOCIATED</t>
    <phoneticPr fontId="1" type="noConversion"/>
  </si>
  <si>
    <t>CID Waiting For HOST</t>
    <phoneticPr fontId="1" type="noConversion"/>
  </si>
  <si>
    <t>CarrierIDReport</t>
    <phoneticPr fontId="1" type="noConversion"/>
  </si>
  <si>
    <t>CarrierID</t>
    <phoneticPr fontId="1" type="noConversion"/>
  </si>
  <si>
    <t>E87</t>
    <phoneticPr fontId="1" type="noConversion"/>
  </si>
  <si>
    <t>CID HOST Verify OK</t>
    <phoneticPr fontId="1" type="noConversion"/>
  </si>
  <si>
    <t>TRANSFER BLOCKED-&gt;READY TO LOAD</t>
    <phoneticPr fontId="1" type="noConversion"/>
  </si>
  <si>
    <t>ASSOCIATED&gt;NOT ASSOCIATED</t>
    <phoneticPr fontId="1" type="noConversion"/>
  </si>
  <si>
    <t>E40</t>
    <phoneticPr fontId="1" type="noConversion"/>
  </si>
  <si>
    <t>(no state)-&gt;QUEUED/POOLED</t>
    <phoneticPr fontId="1" type="noConversion"/>
  </si>
  <si>
    <t>E94</t>
    <phoneticPr fontId="1" type="noConversion"/>
  </si>
  <si>
    <t>QUEUED-&gt;SELECTED</t>
    <phoneticPr fontId="1" type="noConversion"/>
  </si>
  <si>
    <t>ControlJobStartReport</t>
    <phoneticPr fontId="1" type="noConversion"/>
  </si>
  <si>
    <t>SMap Waiting For HOST</t>
    <phoneticPr fontId="1" type="noConversion"/>
  </si>
  <si>
    <t>SlotMapReport</t>
    <phoneticPr fontId="1" type="noConversion"/>
  </si>
  <si>
    <t>Usage</t>
  </si>
  <si>
    <t>SubStrateCount</t>
  </si>
  <si>
    <t>QUEUED/POOLED-&gt;SETTING UP</t>
    <phoneticPr fontId="1" type="noConversion"/>
  </si>
  <si>
    <t>ProcessJobStartReport</t>
    <phoneticPr fontId="1" type="noConversion"/>
  </si>
  <si>
    <t>E90</t>
    <phoneticPr fontId="1" type="noConversion"/>
  </si>
  <si>
    <t>ProcessJobEndReport</t>
    <phoneticPr fontId="1" type="noConversion"/>
  </si>
  <si>
    <t>EXECUTING-&gt;COMPLETED</t>
    <phoneticPr fontId="1" type="noConversion"/>
  </si>
  <si>
    <t>ControlJobEndReport</t>
    <phoneticPr fontId="1" type="noConversion"/>
  </si>
  <si>
    <t>OPENED-&gt;CLOSED</t>
    <phoneticPr fontId="1" type="noConversion"/>
  </si>
  <si>
    <t>CLAMPED-&gt;UNCLAMPED</t>
    <phoneticPr fontId="1" type="noConversion"/>
  </si>
  <si>
    <t>TRANSFER BLOCKED-&gt;READY TO UNLOAD</t>
    <phoneticPr fontId="1" type="noConversion"/>
  </si>
  <si>
    <t>ReadyToUnloadReport</t>
    <phoneticPr fontId="1" type="noConversion"/>
  </si>
  <si>
    <t>UnloadCompleteReport</t>
    <phoneticPr fontId="1" type="noConversion"/>
  </si>
  <si>
    <t>ReadyToLoadReport</t>
    <phoneticPr fontId="1" type="noConversion"/>
  </si>
  <si>
    <t>E87</t>
    <phoneticPr fontId="1" type="noConversion"/>
  </si>
  <si>
    <t>UNDOCKED-&gt;DOCKED</t>
    <phoneticPr fontId="1" type="noConversion"/>
  </si>
  <si>
    <t>CLOSED-&gt;OPENED</t>
    <phoneticPr fontId="1" type="noConversion"/>
  </si>
  <si>
    <t>Reason</t>
    <phoneticPr fontId="1" type="noConversion"/>
  </si>
  <si>
    <t>SlotMap</t>
    <phoneticPr fontId="1" type="noConversion"/>
  </si>
  <si>
    <t>SLOT MAP VERFICATION OK</t>
    <phoneticPr fontId="1" type="noConversion"/>
  </si>
  <si>
    <t>READY TO LOAD-&gt;TRANSFER BLOCKED</t>
    <phoneticPr fontId="1" type="noConversion"/>
  </si>
  <si>
    <t>PROCESSING-&gt;PROCESS COMPLETE</t>
    <phoneticPr fontId="1" type="noConversion"/>
  </si>
  <si>
    <t>CARRIER UNLOAD COMPLETE</t>
    <phoneticPr fontId="1" type="noConversion"/>
  </si>
  <si>
    <t>DATAIDType</t>
  </si>
  <si>
    <t>Settings</t>
    <phoneticPr fontId="1" type="noConversion"/>
  </si>
  <si>
    <t>Settings Value</t>
    <phoneticPr fontId="1" type="noConversion"/>
  </si>
  <si>
    <t>VIDType</t>
  </si>
  <si>
    <t>CEIDType</t>
  </si>
  <si>
    <t>RPTIDType</t>
  </si>
  <si>
    <t>ECIDType</t>
  </si>
  <si>
    <t>ALIDType</t>
  </si>
  <si>
    <t>E94</t>
    <phoneticPr fontId="1" type="noConversion"/>
  </si>
  <si>
    <t>EquipmentChange</t>
    <phoneticPr fontId="1" type="noConversion"/>
  </si>
  <si>
    <t>E30</t>
    <phoneticPr fontId="1" type="noConversion"/>
  </si>
  <si>
    <t>UNDEFINE-&gt;OUT OF SERVICE</t>
    <phoneticPr fontId="1" type="noConversion"/>
  </si>
  <si>
    <t>IN SERVICE-&gt;OUT OF SERVICE</t>
    <phoneticPr fontId="1" type="noConversion"/>
  </si>
  <si>
    <t>OUT OF SERVICE-&gt;IN SERVICE</t>
    <phoneticPr fontId="1" type="noConversion"/>
  </si>
  <si>
    <t>ControlState</t>
    <phoneticPr fontId="1" type="noConversion"/>
  </si>
  <si>
    <t>CarrierPlaced</t>
    <phoneticPr fontId="1" type="noConversion"/>
  </si>
  <si>
    <t>CarrierClamped</t>
    <phoneticPr fontId="1" type="noConversion"/>
  </si>
  <si>
    <t>PortCarrierAssociated</t>
    <phoneticPr fontId="1" type="noConversion"/>
  </si>
  <si>
    <t>CarrierRead</t>
    <phoneticPr fontId="1" type="noConversion"/>
  </si>
  <si>
    <t>CarrierOpened</t>
    <phoneticPr fontId="1" type="noConversion"/>
  </si>
  <si>
    <t>CIDHostVerifyOk</t>
    <phoneticPr fontId="1" type="noConversion"/>
  </si>
  <si>
    <t>SlotmapVerificationOk</t>
    <phoneticPr fontId="1" type="noConversion"/>
  </si>
  <si>
    <t>PortCarrierNotAssociated</t>
    <phoneticPr fontId="1" type="noConversion"/>
  </si>
  <si>
    <t>ReadyToLoad</t>
    <phoneticPr fontId="1" type="noConversion"/>
  </si>
  <si>
    <t>PJQueued</t>
    <phoneticPr fontId="1" type="noConversion"/>
  </si>
  <si>
    <t>CJQueued</t>
    <phoneticPr fontId="1" type="noConversion"/>
  </si>
  <si>
    <t>CJSelected</t>
    <phoneticPr fontId="1" type="noConversion"/>
  </si>
  <si>
    <t>PJSettingUp</t>
    <phoneticPr fontId="1" type="noConversion"/>
  </si>
  <si>
    <t>PJCompleted</t>
    <phoneticPr fontId="1" type="noConversion"/>
  </si>
  <si>
    <t>CJCompleted</t>
    <phoneticPr fontId="1" type="noConversion"/>
  </si>
  <si>
    <t>ReadyToUnload</t>
    <phoneticPr fontId="1" type="noConversion"/>
  </si>
  <si>
    <t>UnloadComplete</t>
    <phoneticPr fontId="1" type="noConversion"/>
  </si>
  <si>
    <t>InService</t>
    <phoneticPr fontId="1" type="noConversion"/>
  </si>
  <si>
    <t>OffLine</t>
    <phoneticPr fontId="1" type="noConversion"/>
  </si>
  <si>
    <t>Remote</t>
    <phoneticPr fontId="1" type="noConversion"/>
  </si>
  <si>
    <t>Local</t>
    <phoneticPr fontId="1" type="noConversion"/>
  </si>
  <si>
    <t>UndefineOutOfService</t>
    <phoneticPr fontId="1" type="noConversion"/>
  </si>
  <si>
    <t>OutOfService</t>
    <phoneticPr fontId="1" type="noConversion"/>
  </si>
  <si>
    <t>Event Name (SECS Manual)</t>
    <phoneticPr fontId="1" type="noConversion"/>
  </si>
  <si>
    <t>VID Name (SECS Manual)</t>
    <phoneticPr fontId="1" type="noConversion"/>
  </si>
  <si>
    <t>Remark</t>
    <phoneticPr fontId="1" type="noConversion"/>
  </si>
  <si>
    <t>ECChange</t>
    <phoneticPr fontId="1" type="noConversion"/>
  </si>
  <si>
    <t>LoadComplete</t>
    <phoneticPr fontId="1" type="noConversion"/>
  </si>
  <si>
    <t>CarrierIDRead</t>
    <phoneticPr fontId="1" type="noConversion"/>
  </si>
  <si>
    <t>CarrierClosed</t>
    <phoneticPr fontId="1" type="noConversion"/>
  </si>
  <si>
    <t>CarrierUnclamped</t>
    <phoneticPr fontId="1" type="noConversion"/>
  </si>
  <si>
    <t>LPAccessMode Manual -&gt; Auto</t>
    <phoneticPr fontId="1" type="noConversion"/>
  </si>
  <si>
    <t>LPAccessMode Auto -&gt; Manual</t>
    <phoneticPr fontId="1" type="noConversion"/>
  </si>
  <si>
    <t>Chamber Start</t>
    <phoneticPr fontId="1" type="noConversion"/>
  </si>
  <si>
    <t>ChamberProcessWaferReport_ChamberStart</t>
    <phoneticPr fontId="1" type="noConversion"/>
  </si>
  <si>
    <t>Chamber End</t>
    <phoneticPr fontId="1" type="noConversion"/>
  </si>
  <si>
    <t>ChamberProcessWaferReport_ChamberEnd</t>
    <phoneticPr fontId="1" type="noConversion"/>
  </si>
  <si>
    <t>NOT ACCESSED -&gt; IN ACCESS</t>
    <phoneticPr fontId="1" type="noConversion"/>
  </si>
  <si>
    <t>AT SOURCE -&gt; AT WORK</t>
    <phoneticPr fontId="1" type="noConversion"/>
  </si>
  <si>
    <t>NEEDS PROCESSING -&gt; IN PROCESS</t>
    <phoneticPr fontId="1" type="noConversion"/>
  </si>
  <si>
    <t>SubstProcState</t>
    <phoneticPr fontId="1" type="noConversion"/>
  </si>
  <si>
    <t>SubstSource</t>
    <phoneticPr fontId="1" type="noConversion"/>
  </si>
  <si>
    <t>AT WORK -&gt; AT DESTINATION</t>
    <phoneticPr fontId="1" type="noConversion"/>
  </si>
  <si>
    <t>SubstState</t>
    <phoneticPr fontId="1" type="noConversion"/>
  </si>
  <si>
    <t>SubstUsage</t>
    <phoneticPr fontId="1" type="noConversion"/>
  </si>
  <si>
    <t>AliasName_MappingWithTSMC</t>
    <phoneticPr fontId="1" type="noConversion"/>
  </si>
  <si>
    <t>Valid_DV</t>
    <phoneticPr fontId="1" type="noConversion"/>
  </si>
  <si>
    <t>DVID</t>
    <phoneticPr fontId="1" type="noConversion"/>
  </si>
  <si>
    <t>Data_Type</t>
    <phoneticPr fontId="1" type="noConversion"/>
  </si>
  <si>
    <t>CEID</t>
    <phoneticPr fontId="1" type="noConversion"/>
  </si>
  <si>
    <t>StageID</t>
    <phoneticPr fontId="1" type="noConversion"/>
  </si>
  <si>
    <t>PortAssociationState</t>
    <phoneticPr fontId="1" type="noConversion"/>
  </si>
  <si>
    <t>SubstDestination</t>
    <phoneticPr fontId="1" type="noConversion"/>
  </si>
  <si>
    <t>SubstMtrlStatus</t>
    <phoneticPr fontId="1" type="noConversion"/>
  </si>
  <si>
    <t>SubstType</t>
    <phoneticPr fontId="1" type="noConversion"/>
  </si>
  <si>
    <t>ProcessProgramChange by operator-initiated</t>
    <phoneticPr fontId="1" type="noConversion"/>
  </si>
  <si>
    <t>CarrierIDReadFail</t>
    <phoneticPr fontId="1" type="noConversion"/>
  </si>
  <si>
    <t>Carrier ID read fail</t>
    <phoneticPr fontId="1" type="noConversion"/>
  </si>
  <si>
    <t>CJStarted (auto)</t>
    <phoneticPr fontId="1" type="noConversion"/>
  </si>
  <si>
    <t>CJStarted (manual)</t>
    <phoneticPr fontId="1" type="noConversion"/>
  </si>
  <si>
    <t>CJStatusChange_Auto_Start</t>
    <phoneticPr fontId="1" type="noConversion"/>
  </si>
  <si>
    <t>CJStatusChange_Manual_Start</t>
    <phoneticPr fontId="1" type="noConversion"/>
  </si>
  <si>
    <t>PJStart (auto)</t>
    <phoneticPr fontId="1" type="noConversion"/>
  </si>
  <si>
    <t>PJStart (manual)</t>
    <phoneticPr fontId="1" type="noConversion"/>
  </si>
  <si>
    <t>PJStatusChange_Auto_Start</t>
    <phoneticPr fontId="1" type="noConversion"/>
  </si>
  <si>
    <t>PJStatusChange_Manual_Start</t>
    <phoneticPr fontId="1" type="noConversion"/>
  </si>
  <si>
    <t>CarrierUndocked</t>
    <phoneticPr fontId="1" type="noConversion"/>
  </si>
  <si>
    <t>CarrierDocked</t>
    <phoneticPr fontId="1" type="noConversion"/>
  </si>
  <si>
    <t>IN ACCESS -&gt; Carrier Stopped</t>
    <phoneticPr fontId="1" type="noConversion"/>
  </si>
  <si>
    <t>E87CSTInAccess</t>
    <phoneticPr fontId="1" type="noConversion"/>
  </si>
  <si>
    <t>E87CSTCarrierStopped</t>
    <phoneticPr fontId="1" type="noConversion"/>
  </si>
  <si>
    <t>E87CSTCarrierComplete</t>
    <phoneticPr fontId="1" type="noConversion"/>
  </si>
  <si>
    <t>IN ACCESS -&gt; Carrier Complete</t>
    <phoneticPr fontId="1" type="noConversion"/>
  </si>
  <si>
    <t>SETTING UP-&gt;WAITING FOR START</t>
    <phoneticPr fontId="1" type="noConversion"/>
  </si>
  <si>
    <t>PJStatusChange_WaitingForStart</t>
    <phoneticPr fontId="1" type="noConversion"/>
  </si>
  <si>
    <t>SETTING UP -&gt; PROCESSING</t>
    <phoneticPr fontId="1" type="noConversion"/>
  </si>
  <si>
    <t>WAITING FOR START -&gt; PROCESSING</t>
    <phoneticPr fontId="1" type="noConversion"/>
  </si>
  <si>
    <t>PJStatusChange_ProcessComplete</t>
    <phoneticPr fontId="1" type="noConversion"/>
  </si>
  <si>
    <t>ABORTING-&gt;ABORTED</t>
    <phoneticPr fontId="1" type="noConversion"/>
  </si>
  <si>
    <t>PJStatusChange_Aborted</t>
    <phoneticPr fontId="1" type="noConversion"/>
  </si>
  <si>
    <t>PJAbnormalEnd (abort)</t>
    <phoneticPr fontId="1" type="noConversion"/>
  </si>
  <si>
    <t>STOPPING-&gt;STOPPED</t>
    <phoneticPr fontId="1" type="noConversion"/>
  </si>
  <si>
    <t>PJAbnormalEnd (stop)</t>
    <phoneticPr fontId="1" type="noConversion"/>
  </si>
  <si>
    <t>PJStatusChange_Stopped</t>
    <phoneticPr fontId="1" type="noConversion"/>
  </si>
  <si>
    <t>CJStatusChange_Queued</t>
    <phoneticPr fontId="1" type="noConversion"/>
  </si>
  <si>
    <t>CJStatusChange_WaitingForStart</t>
    <phoneticPr fontId="1" type="noConversion"/>
  </si>
  <si>
    <t>CJStatusChange_Selected</t>
    <phoneticPr fontId="1" type="noConversion"/>
  </si>
  <si>
    <t>SELECTED-&gt;WAITING FOR START</t>
    <phoneticPr fontId="1" type="noConversion"/>
  </si>
  <si>
    <t>CJWaitingForStart</t>
    <phoneticPr fontId="1" type="noConversion"/>
  </si>
  <si>
    <t>SELECTED-&gt;EXECUTING</t>
    <phoneticPr fontId="1" type="noConversion"/>
  </si>
  <si>
    <t>WAITING FOR START-&gt;EXECUTING</t>
    <phoneticPr fontId="1" type="noConversion"/>
  </si>
  <si>
    <t>CJStatusChange_Completed</t>
    <phoneticPr fontId="1" type="noConversion"/>
  </si>
  <si>
    <t>ACTIVE-&gt;COMPLETED (STOP COMMAND)</t>
    <phoneticPr fontId="1" type="noConversion"/>
  </si>
  <si>
    <t>CJStopped</t>
    <phoneticPr fontId="1" type="noConversion"/>
  </si>
  <si>
    <t>CJStatusChange_Stopped</t>
    <phoneticPr fontId="1" type="noConversion"/>
  </si>
  <si>
    <t>ACTIVE-&gt;COMPLETED (ABORT COMMAND)</t>
    <phoneticPr fontId="1" type="noConversion"/>
  </si>
  <si>
    <t>CJAborted</t>
    <phoneticPr fontId="1" type="noConversion"/>
  </si>
  <si>
    <t>CJStatusChange_Aborted</t>
    <phoneticPr fontId="1" type="noConversion"/>
  </si>
  <si>
    <t>QUEUED/POOLED-&gt;(no state)</t>
    <phoneticPr fontId="1" type="noConversion"/>
  </si>
  <si>
    <t>no state -&gt; AT SOURCE</t>
    <phoneticPr fontId="1" type="noConversion"/>
  </si>
  <si>
    <t>AT DESTINATION -&gt; no state</t>
    <phoneticPr fontId="1" type="noConversion"/>
  </si>
  <si>
    <t>no state -&gt; NEEDS PROCESSING</t>
    <phoneticPr fontId="1" type="noConversion"/>
  </si>
  <si>
    <t>IN PROCESS-&gt;PROCESSING COMPLETE (PROCESSED)</t>
    <phoneticPr fontId="1" type="noConversion"/>
  </si>
  <si>
    <t>STSProcessingEnd</t>
    <phoneticPr fontId="1" type="noConversion"/>
  </si>
  <si>
    <t>WaferProcessStart_InProcess</t>
    <phoneticPr fontId="1" type="noConversion"/>
  </si>
  <si>
    <t>WaferProcessEnd_Processed</t>
    <phoneticPr fontId="1" type="noConversion"/>
  </si>
  <si>
    <t>IN PROCESS-&gt;PROCESSING COMPLETE (REJECTED)</t>
    <phoneticPr fontId="1" type="noConversion"/>
  </si>
  <si>
    <t>WaferProcessEnd_Rejected</t>
    <phoneticPr fontId="1" type="noConversion"/>
  </si>
  <si>
    <t>STSProcessingRejected</t>
    <phoneticPr fontId="1" type="noConversion"/>
  </si>
  <si>
    <t>IN PROCESS-&gt;PROCESSING COMPLETE (Stopped)</t>
    <phoneticPr fontId="1" type="noConversion"/>
  </si>
  <si>
    <t>STSProcessingStopped</t>
    <phoneticPr fontId="1" type="noConversion"/>
  </si>
  <si>
    <t>WaferProcessEnd_Stopped</t>
    <phoneticPr fontId="1" type="noConversion"/>
  </si>
  <si>
    <t>IN PROCESS-&gt;PROCESSING COMPLETE (Aborted)</t>
    <phoneticPr fontId="1" type="noConversion"/>
  </si>
  <si>
    <t>STSProcessingAborted</t>
    <phoneticPr fontId="1" type="noConversion"/>
  </si>
  <si>
    <t>WaferProcessEnd_Aborted</t>
    <phoneticPr fontId="1" type="noConversion"/>
  </si>
  <si>
    <t>IN PROCESS-&gt;PROCESSING COMPLETE (Lost)</t>
    <phoneticPr fontId="1" type="noConversion"/>
  </si>
  <si>
    <t>STSProcessingLost</t>
    <phoneticPr fontId="1" type="noConversion"/>
  </si>
  <si>
    <t>WaferProcessEnd_Lost</t>
    <phoneticPr fontId="1" type="noConversion"/>
  </si>
  <si>
    <t>IN PROCESS-&gt;PROCESSING COMPLETE (Skipped)</t>
    <phoneticPr fontId="1" type="noConversion"/>
  </si>
  <si>
    <t>STSProcessingSkipped</t>
    <phoneticPr fontId="1" type="noConversion"/>
  </si>
  <si>
    <t>WaferProcessEnd_Skipped</t>
    <phoneticPr fontId="1" type="noConversion"/>
  </si>
  <si>
    <t>E90STSNeedsProcessing</t>
    <phoneticPr fontId="1" type="noConversion"/>
  </si>
  <si>
    <t>any E90 state -&gt; no state</t>
    <phoneticPr fontId="1" type="noConversion"/>
  </si>
  <si>
    <t>means normal wafer transfer sequence (normal wafer movement)</t>
    <phoneticPr fontId="1" type="noConversion"/>
  </si>
  <si>
    <t>Abnormal wafer transfer sequence has occurred</t>
    <phoneticPr fontId="1" type="noConversion"/>
  </si>
  <si>
    <t>E90STSDeleted_AbnormalTransferOccurred</t>
    <phoneticPr fontId="1" type="noConversion"/>
  </si>
  <si>
    <t>UNOCCUPIED-&gt;OCCUPIED</t>
    <phoneticPr fontId="1" type="noConversion"/>
  </si>
  <si>
    <t>E90STSLocation_Occupied</t>
    <phoneticPr fontId="1" type="noConversion"/>
  </si>
  <si>
    <t>OCCUPIED-&gt;UNOCCUPIED</t>
    <phoneticPr fontId="1" type="noConversion"/>
  </si>
  <si>
    <t>E90STSLocation_UnOccupied</t>
    <phoneticPr fontId="1" type="noConversion"/>
  </si>
  <si>
    <t>E90STSTransport_AtSource</t>
    <phoneticPr fontId="1" type="noConversion"/>
  </si>
  <si>
    <t>E90STSTransport_AtWork</t>
    <phoneticPr fontId="1" type="noConversion"/>
  </si>
  <si>
    <t>E90STSTransport_AtDestination</t>
    <phoneticPr fontId="1" type="noConversion"/>
  </si>
  <si>
    <t>ProcessRecipeReport_RecipeStart</t>
    <phoneticPr fontId="1" type="noConversion"/>
  </si>
  <si>
    <t>CleanRecipeReport_RecipeStart</t>
    <phoneticPr fontId="1" type="noConversion"/>
  </si>
  <si>
    <t>ProcessRecipeReport_RecipeEnd</t>
    <phoneticPr fontId="1" type="noConversion"/>
  </si>
  <si>
    <t>CleanRecipeReport_RecipeEnd</t>
    <phoneticPr fontId="1" type="noConversion"/>
  </si>
  <si>
    <t>ProcessRecipeReport_RecipeStepStart</t>
    <phoneticPr fontId="1" type="noConversion"/>
  </si>
  <si>
    <t>CleanRecipeReport_RecipeStepStart</t>
    <phoneticPr fontId="1" type="noConversion"/>
  </si>
  <si>
    <t>ProcessRecipeReport_RecipeStepEnd</t>
    <phoneticPr fontId="1" type="noConversion"/>
  </si>
  <si>
    <t>CleanRecipeReport_RecipeStepEnd</t>
    <phoneticPr fontId="1" type="noConversion"/>
  </si>
  <si>
    <t>Triggered when each step of the clean recipe begins execution</t>
    <phoneticPr fontId="1" type="noConversion"/>
  </si>
  <si>
    <t>Triggered when each step of the clean recipe is completed</t>
    <phoneticPr fontId="1" type="noConversion"/>
  </si>
  <si>
    <t>Triggered when each step of the process recipe begins execution</t>
    <phoneticPr fontId="1" type="noConversion"/>
  </si>
  <si>
    <t>Triggered when each step of the process recipe is completed</t>
    <phoneticPr fontId="1" type="noConversion"/>
  </si>
  <si>
    <t>Recipe Started event for the clean recipe</t>
    <phoneticPr fontId="1" type="noConversion"/>
  </si>
  <si>
    <t>Recipe Completed for the clean recipe</t>
    <phoneticPr fontId="1" type="noConversion"/>
  </si>
  <si>
    <t>Recipe Started event for the process recipe</t>
    <phoneticPr fontId="1" type="noConversion"/>
  </si>
  <si>
    <t>Recipe Completed for the process recipe</t>
    <phoneticPr fontId="1" type="noConversion"/>
  </si>
  <si>
    <t>CarrierInputSpec</t>
    <phoneticPr fontId="1" type="noConversion"/>
  </si>
  <si>
    <t>CurrentPRJob</t>
    <phoneticPr fontId="1" type="noConversion"/>
  </si>
  <si>
    <t>PRJobStatusList</t>
    <phoneticPr fontId="1" type="noConversion"/>
  </si>
  <si>
    <t>CJAbortedWaferCount</t>
    <phoneticPr fontId="1" type="noConversion"/>
  </si>
  <si>
    <t>CJProcessedWaferCount_CompletedNormally</t>
    <phoneticPr fontId="1" type="noConversion"/>
  </si>
  <si>
    <t>PJStatusChange_PJCanceled</t>
    <phoneticPr fontId="1" type="noConversion"/>
  </si>
  <si>
    <t>CJStatusChange_CJCanceled</t>
    <phoneticPr fontId="1" type="noConversion"/>
  </si>
  <si>
    <t>QUEUED-&gt;(no state)</t>
    <phoneticPr fontId="1" type="noConversion"/>
  </si>
  <si>
    <t>SubstrateID</t>
    <phoneticPr fontId="1" type="noConversion"/>
  </si>
  <si>
    <t>SlotID</t>
    <phoneticPr fontId="1" type="noConversion"/>
  </si>
  <si>
    <t>SubstrateLocationID</t>
    <phoneticPr fontId="1" type="noConversion"/>
  </si>
  <si>
    <t>ChamberID</t>
    <phoneticPr fontId="1" type="noConversion"/>
  </si>
  <si>
    <t>RecipeStepNumber</t>
    <phoneticPr fontId="1" type="noConversion"/>
  </si>
  <si>
    <t>E90STSDeleted_CompletedNormally</t>
    <phoneticPr fontId="1" type="noConversion"/>
  </si>
  <si>
    <t>CarrierAccessingStatus</t>
    <phoneticPr fontId="1" type="noConversion"/>
  </si>
  <si>
    <t>PortTransferState</t>
    <phoneticPr fontId="1" type="noConversion"/>
  </si>
  <si>
    <t>AccessMode</t>
    <phoneticPr fontId="1" type="noConversion"/>
  </si>
  <si>
    <t>Usage</t>
    <phoneticPr fontId="1" type="noConversion"/>
  </si>
  <si>
    <t>RFID Read Fail</t>
    <phoneticPr fontId="1" type="noConversion"/>
  </si>
  <si>
    <t>ToolModeChange_OffLine</t>
    <phoneticPr fontId="1" type="noConversion"/>
  </si>
  <si>
    <t>ToolModeChange_Remote</t>
    <phoneticPr fontId="1" type="noConversion"/>
  </si>
  <si>
    <t>ToolModeChange_Local</t>
    <phoneticPr fontId="1" type="noConversion"/>
  </si>
  <si>
    <t>GemPPChangeEvent</t>
    <phoneticPr fontId="1" type="noConversion"/>
  </si>
  <si>
    <t>AccessMode_Auto</t>
    <phoneticPr fontId="1" type="noConversion"/>
  </si>
  <si>
    <t>AccessMode_Manu</t>
    <phoneticPr fontId="1" type="noConversion"/>
  </si>
  <si>
    <t>LocationID</t>
    <phoneticPr fontId="1" type="noConversion"/>
  </si>
  <si>
    <t>PJStatusChange_Pooled</t>
    <phoneticPr fontId="1" type="noConversion"/>
  </si>
  <si>
    <t>PJStatusChange_SettingUp</t>
    <phoneticPr fontId="1" type="noConversion"/>
  </si>
  <si>
    <t>ControlJobState</t>
    <phoneticPr fontId="1" type="noConversion"/>
  </si>
  <si>
    <t>TAP-&gt;TCS Report</t>
    <phoneticPr fontId="1" type="noConversion"/>
  </si>
  <si>
    <t>Equipment Type (e.g., Process, Metrology)</t>
    <phoneticPr fontId="1" type="noConversion"/>
  </si>
  <si>
    <r>
      <t>0=Manual</t>
    </r>
    <r>
      <rPr>
        <sz val="12"/>
        <color theme="1"/>
        <rFont val="細明體"/>
        <family val="1"/>
        <charset val="136"/>
      </rPr>
      <t>、</t>
    </r>
    <r>
      <rPr>
        <sz val="12"/>
        <color theme="1"/>
        <rFont val="Times New Roman"/>
        <family val="1"/>
      </rPr>
      <t>1=Auto</t>
    </r>
    <phoneticPr fontId="1" type="noConversion"/>
  </si>
  <si>
    <t>WaferProcessStartReport</t>
    <phoneticPr fontId="1" type="noConversion"/>
  </si>
  <si>
    <t>WaferProcessEndReport</t>
    <phoneticPr fontId="1" type="noConversion"/>
  </si>
  <si>
    <t>PPChangeStatus</t>
  </si>
  <si>
    <t>PPChangeStatusText</t>
  </si>
  <si>
    <t>PPChangeName</t>
  </si>
  <si>
    <t>ProcessOrderMgmt</t>
  </si>
  <si>
    <t>PRJobState</t>
  </si>
  <si>
    <t>PRMtlType</t>
  </si>
  <si>
    <t>PRMtlNameList</t>
  </si>
  <si>
    <t>PRRecipeMethod</t>
  </si>
  <si>
    <t>AllPRJobsList</t>
  </si>
  <si>
    <t>SubstStateList</t>
  </si>
  <si>
    <t>ActiveControlJobID</t>
  </si>
  <si>
    <t>PRRecipeID</t>
  </si>
  <si>
    <t>ActiveRecipeID</t>
  </si>
  <si>
    <t>PRJobID</t>
  </si>
  <si>
    <t>PRRecVariableList</t>
  </si>
  <si>
    <t>ActivePRJobCarrierID</t>
  </si>
  <si>
    <t>ActivePRJobPortID</t>
  </si>
  <si>
    <t>ActivePRJobLotID</t>
  </si>
  <si>
    <t>ActivePRJobID</t>
  </si>
  <si>
    <t>ECChangeID</t>
  </si>
  <si>
    <t>PJProcessedWaferCount_CompletedNormally</t>
    <phoneticPr fontId="1" type="noConversion"/>
  </si>
  <si>
    <t>ActiveControlJobID</t>
    <phoneticPr fontId="1" type="noConversion"/>
  </si>
  <si>
    <t>ActivePRJobPortID</t>
    <phoneticPr fontId="1" type="noConversion"/>
  </si>
  <si>
    <t>ActivePRJobCarrierID</t>
    <phoneticPr fontId="1" type="noConversion"/>
  </si>
  <si>
    <t>ActiveRecipeID</t>
    <phoneticPr fontId="1" type="noConversion"/>
  </si>
  <si>
    <t>ControlState</t>
    <phoneticPr fontId="5" type="noConversion"/>
  </si>
  <si>
    <t>EventName</t>
    <phoneticPr fontId="5" type="noConversion"/>
  </si>
  <si>
    <t>CLOCK</t>
    <phoneticPr fontId="5" type="noConversion"/>
  </si>
  <si>
    <t>ECChangeID</t>
    <phoneticPr fontId="5" type="noConversion"/>
  </si>
  <si>
    <t>PPChangeName</t>
    <phoneticPr fontId="5" type="noConversion"/>
  </si>
  <si>
    <t>PPChangeStatus</t>
    <phoneticPr fontId="5" type="noConversion"/>
  </si>
  <si>
    <t>PPChangeStatusText</t>
    <phoneticPr fontId="5" type="noConversion"/>
  </si>
  <si>
    <t>PortID</t>
    <phoneticPr fontId="5" type="noConversion"/>
  </si>
  <si>
    <t>PortTransferState</t>
    <phoneticPr fontId="5" type="noConversion"/>
  </si>
  <si>
    <t>PortStateInfo</t>
    <phoneticPr fontId="5" type="noConversion"/>
  </si>
  <si>
    <t>LocationID</t>
    <phoneticPr fontId="5" type="noConversion"/>
  </si>
  <si>
    <t>AccessMode</t>
    <phoneticPr fontId="5" type="noConversion"/>
  </si>
  <si>
    <t>Usage</t>
    <phoneticPr fontId="5" type="noConversion"/>
  </si>
  <si>
    <t>PortAssociationState</t>
    <phoneticPr fontId="5" type="noConversion"/>
  </si>
  <si>
    <t>CarrierID</t>
    <phoneticPr fontId="5" type="noConversion"/>
  </si>
  <si>
    <t>SlotMapStatus</t>
    <phoneticPr fontId="5" type="noConversion"/>
  </si>
  <si>
    <t>CarrierAccessingStatus</t>
    <phoneticPr fontId="5" type="noConversion"/>
  </si>
  <si>
    <t>ContentMap</t>
    <phoneticPr fontId="5" type="noConversion"/>
  </si>
  <si>
    <t>SubStrateCount</t>
    <phoneticPr fontId="5" type="noConversion"/>
  </si>
  <si>
    <t>Reason</t>
    <phoneticPr fontId="5" type="noConversion"/>
  </si>
  <si>
    <t>SlotMap</t>
    <phoneticPr fontId="5" type="noConversion"/>
  </si>
  <si>
    <t>CarrierIDStatus</t>
    <phoneticPr fontId="5" type="noConversion"/>
  </si>
  <si>
    <t>PRJobID</t>
    <phoneticPr fontId="5" type="noConversion"/>
  </si>
  <si>
    <t>PRJobState</t>
    <phoneticPr fontId="5" type="noConversion"/>
  </si>
  <si>
    <t>PRRecipeID</t>
    <phoneticPr fontId="5" type="noConversion"/>
  </si>
  <si>
    <t>ActivePRJobCarrierID</t>
    <phoneticPr fontId="5" type="noConversion"/>
  </si>
  <si>
    <t>ActivePRJobPortID</t>
    <phoneticPr fontId="5" type="noConversion"/>
  </si>
  <si>
    <t>ActivePRJobLotID</t>
    <phoneticPr fontId="5" type="noConversion"/>
  </si>
  <si>
    <t>AllPRJobsList</t>
    <phoneticPr fontId="5" type="noConversion"/>
  </si>
  <si>
    <t>PRRecVariableList</t>
    <phoneticPr fontId="5" type="noConversion"/>
  </si>
  <si>
    <t>ActiveControlJobID</t>
    <phoneticPr fontId="5" type="noConversion"/>
  </si>
  <si>
    <t>PRMtlType</t>
    <phoneticPr fontId="5" type="noConversion"/>
  </si>
  <si>
    <t>PRMtlNameList</t>
    <phoneticPr fontId="5" type="noConversion"/>
  </si>
  <si>
    <t>PRRecipeMethod</t>
    <phoneticPr fontId="5" type="noConversion"/>
  </si>
  <si>
    <t>PJProcessedWaferCount_CompletedNormally</t>
    <phoneticPr fontId="5" type="noConversion"/>
  </si>
  <si>
    <t>ControlJobID</t>
    <phoneticPr fontId="5" type="noConversion"/>
  </si>
  <si>
    <t>ControlJobState</t>
    <phoneticPr fontId="5" type="noConversion"/>
  </si>
  <si>
    <t>ProcessOrderMgmt</t>
    <phoneticPr fontId="5" type="noConversion"/>
  </si>
  <si>
    <t>CarrierInputSpec</t>
    <phoneticPr fontId="5" type="noConversion"/>
  </si>
  <si>
    <t>CurrentPRJob</t>
    <phoneticPr fontId="5" type="noConversion"/>
  </si>
  <si>
    <t>PRJobStatusList</t>
    <phoneticPr fontId="5" type="noConversion"/>
  </si>
  <si>
    <t>CJProcessedWaferCount_CompletedNormally</t>
    <phoneticPr fontId="5" type="noConversion"/>
  </si>
  <si>
    <t>CJAbortedWaferCount</t>
    <phoneticPr fontId="5" type="noConversion"/>
  </si>
  <si>
    <t>SubstrateID</t>
    <phoneticPr fontId="5" type="noConversion"/>
  </si>
  <si>
    <t>LotID</t>
    <phoneticPr fontId="5" type="noConversion"/>
  </si>
  <si>
    <t>SlotID</t>
    <phoneticPr fontId="5" type="noConversion"/>
  </si>
  <si>
    <t>SubstrateLocationID</t>
    <phoneticPr fontId="5" type="noConversion"/>
  </si>
  <si>
    <t>SubstProcState</t>
    <phoneticPr fontId="5" type="noConversion"/>
  </si>
  <si>
    <t>ActivePRJobID</t>
    <phoneticPr fontId="5" type="noConversion"/>
  </si>
  <si>
    <t>ActiveRecipeID</t>
    <phoneticPr fontId="5" type="noConversion"/>
  </si>
  <si>
    <t>SubstMtrlStatus</t>
    <phoneticPr fontId="5" type="noConversion"/>
  </si>
  <si>
    <t>SubstSource</t>
    <phoneticPr fontId="5" type="noConversion"/>
  </si>
  <si>
    <t>SubstState</t>
    <phoneticPr fontId="5" type="noConversion"/>
  </si>
  <si>
    <t>SubstType</t>
    <phoneticPr fontId="5" type="noConversion"/>
  </si>
  <si>
    <t>SubstUsage</t>
    <phoneticPr fontId="5" type="noConversion"/>
  </si>
  <si>
    <t>SubstStateList</t>
    <phoneticPr fontId="5" type="noConversion"/>
  </si>
  <si>
    <t>SubstDestination</t>
    <phoneticPr fontId="5" type="noConversion"/>
  </si>
  <si>
    <t>ChamberID</t>
    <phoneticPr fontId="5" type="noConversion"/>
  </si>
  <si>
    <t>StageID</t>
    <phoneticPr fontId="5" type="noConversion"/>
  </si>
  <si>
    <t>RecipeStepNumber</t>
    <phoneticPr fontId="5" type="noConversion"/>
  </si>
  <si>
    <t>Required DVID Description</t>
    <phoneticPr fontId="1" type="noConversion"/>
  </si>
  <si>
    <t>This item requires a PJID list for all process jobs that have not been completed.</t>
    <phoneticPr fontId="5" type="noConversion"/>
  </si>
  <si>
    <t>This item requires the processed wafer count for the process job, including only the count of wafers completed normally and excluding abnormal ones, such as aborted or stopped wafers.</t>
    <phoneticPr fontId="5" type="noConversion"/>
  </si>
  <si>
    <t>This item requires the processed wafer count for the control job, including only the count of wafers completed normally and excluding abnormal ones, such as aborted or stopped wafers.</t>
    <phoneticPr fontId="5" type="noConversion"/>
  </si>
  <si>
    <t>VID for carrier attribute</t>
    <phoneticPr fontId="5" type="noConversion"/>
  </si>
  <si>
    <t>VID for process job attribute</t>
    <phoneticPr fontId="5" type="noConversion"/>
  </si>
  <si>
    <t>VID for substrate attribute</t>
    <phoneticPr fontId="5" type="noConversion"/>
  </si>
  <si>
    <t>VID for control job attribute</t>
    <phoneticPr fontId="5" type="noConversion"/>
  </si>
  <si>
    <t>Used to indicate the change status of the recipe, such as created or revised.</t>
    <phoneticPr fontId="5" type="noConversion"/>
  </si>
  <si>
    <t>VID for load port</t>
    <phoneticPr fontId="5" type="noConversion"/>
  </si>
  <si>
    <t>This item requires providing PPID to specify which recipe is running when the specified event (CEID) occurs.</t>
    <phoneticPr fontId="5" type="noConversion"/>
  </si>
  <si>
    <t>The number representing the step in the recipe. This item requires providing the Recipe Step Number to indicate which step is being processed when the specified event (CEID) occurs.</t>
    <phoneticPr fontId="5" type="noConversion"/>
  </si>
  <si>
    <t>This item requires providing Control Job ID (CJID) to specify which control job it belongs to when the specified event (CEID) occurs.</t>
    <phoneticPr fontId="5" type="noConversion"/>
  </si>
  <si>
    <t>This item requires providing LotID to specify which lot is running when the specified event (CEID) occurs.</t>
    <phoneticPr fontId="5" type="noConversion"/>
  </si>
  <si>
    <t>This item requires providing CarrierID to specify which carrier it belongs to when the specified event (CEID) occurs.</t>
    <phoneticPr fontId="5" type="noConversion"/>
  </si>
  <si>
    <t>This item requires providing PortID to indicate which loading port the specified carrier belongs to when the specified event (CEID) occurs.</t>
    <phoneticPr fontId="5" type="noConversion"/>
  </si>
  <si>
    <t>This item requires providing Process Job ID (PJID) to specify which process job it belongs to when the specified event (CEID) occurs.</t>
    <phoneticPr fontId="5" type="noConversion"/>
  </si>
  <si>
    <t>This item requires the aborted wafer count for the control job.</t>
    <phoneticPr fontId="5" type="noConversion"/>
  </si>
  <si>
    <t>Used to indicate the change status of the recipe, such as created or revised. This item requires the ASCII string type to directly specify the status, without using numeric value mapping.</t>
    <phoneticPr fontId="5" type="noConversion"/>
  </si>
  <si>
    <t>The name (PPID) of the changed recipe.</t>
    <phoneticPr fontId="5" type="noConversion"/>
  </si>
  <si>
    <t>ECIDs of the changed equipment constants.</t>
    <phoneticPr fontId="5" type="noConversion"/>
  </si>
  <si>
    <t>This item requires providing the Chamber ID to specify which chamber the specified event (CEID) is associated with.</t>
    <phoneticPr fontId="5" type="noConversion"/>
  </si>
  <si>
    <t>This item requires providing the Stage ID to specify which stage the specified event (CEID) is associated with.
The Stage ID can be (1) The same as the Chamber ID if they are treated as the same unit. (2) A sub-unit or sub-chamber inside the chamber. (3) Defined differently based on how the equipment is designed.</t>
    <phoneticPr fontId="5" type="noConversion"/>
  </si>
  <si>
    <t>Tip: 'Must' indicates that this DVID is included in the must-item list of a specific CEID</t>
    <phoneticPr fontId="1" type="noConversion"/>
  </si>
  <si>
    <t>Must</t>
    <phoneticPr fontId="5" type="noConversion"/>
  </si>
  <si>
    <t>DVID (VID)</t>
    <phoneticPr fontId="1" type="noConversion"/>
  </si>
  <si>
    <t>Metrology</t>
    <phoneticPr fontId="1" type="noConversion"/>
  </si>
  <si>
    <t>TL</t>
    <phoneticPr fontId="1" type="noConversion"/>
  </si>
  <si>
    <t>FTGM2</t>
    <phoneticPr fontId="1" type="noConversion"/>
  </si>
  <si>
    <t>3</t>
    <phoneticPr fontId="5" type="noConversion"/>
  </si>
  <si>
    <t>A</t>
  </si>
  <si>
    <t>SYS_CLOCK</t>
  </si>
  <si>
    <t>SYS_CONTROL_STATE</t>
  </si>
  <si>
    <t>U1</t>
  </si>
  <si>
    <t>6</t>
    <phoneticPr fontId="5" type="noConversion"/>
  </si>
  <si>
    <t>2001</t>
    <phoneticPr fontId="5" type="noConversion"/>
  </si>
  <si>
    <t>PORTID</t>
  </si>
  <si>
    <t>ACCESSMODE</t>
  </si>
  <si>
    <t>2002</t>
    <phoneticPr fontId="5" type="noConversion"/>
  </si>
  <si>
    <t>PORTTRANSFERSTATE</t>
  </si>
  <si>
    <t>2005</t>
    <phoneticPr fontId="5" type="noConversion"/>
  </si>
  <si>
    <t>2000</t>
    <phoneticPr fontId="5" type="noConversion"/>
  </si>
  <si>
    <t>CARRIERID</t>
  </si>
  <si>
    <t>CMS_CARRIERACCESSINGSTATUS</t>
  </si>
  <si>
    <t>444</t>
    <phoneticPr fontId="5" type="noConversion"/>
  </si>
  <si>
    <t>CMS_CARRIERIDSTATUS</t>
  </si>
  <si>
    <t>443</t>
    <phoneticPr fontId="5" type="noConversion"/>
  </si>
  <si>
    <t>CMS_CONTENTMAP</t>
  </si>
  <si>
    <t>List</t>
  </si>
  <si>
    <t>446</t>
    <phoneticPr fontId="5" type="noConversion"/>
  </si>
  <si>
    <t>2010</t>
    <phoneticPr fontId="5" type="noConversion"/>
  </si>
  <si>
    <t>SLOTMAP_LIST</t>
  </si>
  <si>
    <t>SLOTMAPSTATUS</t>
  </si>
  <si>
    <t>2003</t>
    <phoneticPr fontId="5" type="noConversion"/>
  </si>
  <si>
    <t>CMS_LOCATIONID</t>
  </si>
  <si>
    <t>448</t>
    <phoneticPr fontId="5" type="noConversion"/>
  </si>
  <si>
    <t>CMS_USAGE</t>
  </si>
  <si>
    <t>450</t>
    <phoneticPr fontId="5" type="noConversion"/>
  </si>
  <si>
    <t>2013</t>
    <phoneticPr fontId="5" type="noConversion"/>
  </si>
  <si>
    <t>REASON</t>
  </si>
  <si>
    <t>CMS_SUBSTRATECOUNT</t>
  </si>
  <si>
    <t>445</t>
    <phoneticPr fontId="5" type="noConversion"/>
  </si>
  <si>
    <t>141</t>
    <phoneticPr fontId="5" type="noConversion"/>
  </si>
  <si>
    <t>PJ_OBJID</t>
  </si>
  <si>
    <t>PJ_PRJOBSTATE</t>
  </si>
  <si>
    <t>143</t>
    <phoneticPr fontId="5" type="noConversion"/>
  </si>
  <si>
    <t>PJ_PRMTLTYPE</t>
  </si>
  <si>
    <t>BINARY</t>
  </si>
  <si>
    <t>145</t>
    <phoneticPr fontId="5" type="noConversion"/>
  </si>
  <si>
    <t>PJ_PRMTLNAMELIST</t>
  </si>
  <si>
    <t>144</t>
    <phoneticPr fontId="5" type="noConversion"/>
  </si>
  <si>
    <t>PJ_PRRECIPEMETHOD</t>
  </si>
  <si>
    <t>147</t>
    <phoneticPr fontId="5" type="noConversion"/>
  </si>
  <si>
    <t>PJ_RECVARIABLELIST</t>
  </si>
  <si>
    <t>149</t>
    <phoneticPr fontId="5" type="noConversion"/>
  </si>
  <si>
    <t>PJ_RECID</t>
  </si>
  <si>
    <t>148</t>
    <phoneticPr fontId="5" type="noConversion"/>
  </si>
  <si>
    <t>CJ_OBJID</t>
  </si>
  <si>
    <t>241</t>
    <phoneticPr fontId="5" type="noConversion"/>
  </si>
  <si>
    <t>CJ_STATE</t>
  </si>
  <si>
    <t>251</t>
    <phoneticPr fontId="5" type="noConversion"/>
  </si>
  <si>
    <t>CJ_CARRIERINPUTSPEC</t>
    <phoneticPr fontId="5" type="noConversion"/>
  </si>
  <si>
    <t>242</t>
    <phoneticPr fontId="5" type="noConversion"/>
  </si>
  <si>
    <t>CJ_CURRENTPRJOB</t>
  </si>
  <si>
    <t>243</t>
    <phoneticPr fontId="5" type="noConversion"/>
  </si>
  <si>
    <t>CJ_PROCESSORDERMGMT</t>
  </si>
  <si>
    <t>249</t>
    <phoneticPr fontId="5" type="noConversion"/>
  </si>
  <si>
    <t>CJ_PRJOBSTATUSLIST</t>
  </si>
  <si>
    <t>252</t>
    <phoneticPr fontId="5" type="noConversion"/>
  </si>
  <si>
    <t>STS_OBJID</t>
  </si>
  <si>
    <t>341</t>
    <phoneticPr fontId="5" type="noConversion"/>
  </si>
  <si>
    <t>STS_LOTID</t>
  </si>
  <si>
    <t>342</t>
    <phoneticPr fontId="5" type="noConversion"/>
  </si>
  <si>
    <t>STS_SUBSTLOCID</t>
  </si>
  <si>
    <t>346</t>
    <phoneticPr fontId="5" type="noConversion"/>
  </si>
  <si>
    <t>STS_MATERIALSTATUS</t>
  </si>
  <si>
    <t>343</t>
    <phoneticPr fontId="5" type="noConversion"/>
  </si>
  <si>
    <t>STS_SUBSTPROCSTATE</t>
  </si>
  <si>
    <t>347</t>
    <phoneticPr fontId="5" type="noConversion"/>
  </si>
  <si>
    <t>344</t>
    <phoneticPr fontId="5" type="noConversion"/>
  </si>
  <si>
    <t>STS_SUBSTDESTINATION</t>
  </si>
  <si>
    <t>STS_SUBSTSOURCE</t>
  </si>
  <si>
    <t>348</t>
    <phoneticPr fontId="5" type="noConversion"/>
  </si>
  <si>
    <t>349</t>
    <phoneticPr fontId="5" type="noConversion"/>
  </si>
  <si>
    <t>STS_SUBSTTYPE</t>
  </si>
  <si>
    <t>350</t>
    <phoneticPr fontId="5" type="noConversion"/>
  </si>
  <si>
    <t>STS_SUBSTUSAGE</t>
  </si>
  <si>
    <t>351</t>
    <phoneticPr fontId="5" type="noConversion"/>
  </si>
  <si>
    <t>U4</t>
  </si>
  <si>
    <t>1</t>
    <phoneticPr fontId="1" type="noConversion"/>
  </si>
  <si>
    <t>2</t>
    <phoneticPr fontId="1" type="noConversion"/>
  </si>
  <si>
    <t>3</t>
    <phoneticPr fontId="1" type="noConversion"/>
  </si>
  <si>
    <t>GEM_Equipment_Off_Line</t>
    <phoneticPr fontId="1" type="noConversion"/>
  </si>
  <si>
    <t>GEM_Control_State_Local</t>
    <phoneticPr fontId="1" type="noConversion"/>
  </si>
  <si>
    <t>GEM_Control_State_Remote</t>
    <phoneticPr fontId="1" type="noConversion"/>
  </si>
  <si>
    <t>47</t>
    <phoneticPr fontId="5" type="noConversion"/>
  </si>
  <si>
    <t>41</t>
    <phoneticPr fontId="5" type="noConversion"/>
  </si>
  <si>
    <t>42</t>
    <phoneticPr fontId="5" type="noConversion"/>
  </si>
  <si>
    <t>SYS_ECID_CHANGED</t>
    <phoneticPr fontId="5" type="noConversion"/>
  </si>
  <si>
    <t>SYS_PP_CHANGE_NAME</t>
    <phoneticPr fontId="5" type="noConversion"/>
  </si>
  <si>
    <t>SYS_PP_CHANGE_STATUS</t>
    <phoneticPr fontId="5" type="noConversion"/>
  </si>
  <si>
    <t>SYS_PP_CHANGE_STATUS_TEXT</t>
    <phoneticPr fontId="5" type="noConversion"/>
  </si>
  <si>
    <t>4142</t>
    <phoneticPr fontId="5" type="noConversion"/>
  </si>
  <si>
    <t>CMS_PORTSTATEINFO</t>
    <phoneticPr fontId="5" type="noConversion"/>
  </si>
  <si>
    <t>463</t>
    <phoneticPr fontId="5" type="noConversion"/>
  </si>
  <si>
    <t>CMS_PORTASSOCIATIONSTATE</t>
    <phoneticPr fontId="5" type="noConversion"/>
  </si>
  <si>
    <t>464</t>
    <phoneticPr fontId="5" type="noConversion"/>
  </si>
  <si>
    <t>ALLPRJOBSLIST</t>
    <phoneticPr fontId="5" type="noConversion"/>
  </si>
  <si>
    <t>4150</t>
    <phoneticPr fontId="5" type="noConversion"/>
  </si>
  <si>
    <t>4160</t>
    <phoneticPr fontId="5" type="noConversion"/>
  </si>
  <si>
    <t>PJPROCESSEDNORMALLY_WAFERCOUNT</t>
    <phoneticPr fontId="5" type="noConversion"/>
  </si>
  <si>
    <t>4162</t>
    <phoneticPr fontId="5" type="noConversion"/>
  </si>
  <si>
    <t>4163</t>
    <phoneticPr fontId="5" type="noConversion"/>
  </si>
  <si>
    <t>CJPROCESSEDNORMALLY_WAFERCOUNT</t>
    <phoneticPr fontId="5" type="noConversion"/>
  </si>
  <si>
    <t>CJABORTED_WAFERCCOUNT</t>
    <phoneticPr fontId="5" type="noConversion"/>
  </si>
  <si>
    <t>4170</t>
    <phoneticPr fontId="5" type="noConversion"/>
  </si>
  <si>
    <t>4171</t>
    <phoneticPr fontId="5" type="noConversion"/>
  </si>
  <si>
    <t>STS_SUBSTSTATE</t>
    <phoneticPr fontId="5" type="noConversion"/>
  </si>
  <si>
    <t>SUBSTSTATE_LIST</t>
    <phoneticPr fontId="5" type="noConversion"/>
  </si>
  <si>
    <t>STS_SLOTID</t>
    <phoneticPr fontId="5" type="noConversion"/>
  </si>
  <si>
    <t>4180</t>
    <phoneticPr fontId="5" type="noConversion"/>
  </si>
  <si>
    <t>4181</t>
    <phoneticPr fontId="5" type="noConversion"/>
  </si>
  <si>
    <t>4182</t>
    <phoneticPr fontId="5" type="noConversion"/>
  </si>
  <si>
    <t>4183</t>
    <phoneticPr fontId="5" type="noConversion"/>
  </si>
  <si>
    <t>4184</t>
    <phoneticPr fontId="5" type="noConversion"/>
  </si>
  <si>
    <t>4185</t>
    <phoneticPr fontId="5" type="noConversion"/>
  </si>
  <si>
    <t>4186</t>
    <phoneticPr fontId="5" type="noConversion"/>
  </si>
  <si>
    <t>4187</t>
    <phoneticPr fontId="5" type="noConversion"/>
  </si>
  <si>
    <t>4188</t>
    <phoneticPr fontId="5" type="noConversion"/>
  </si>
  <si>
    <t>6300</t>
    <phoneticPr fontId="1" type="noConversion"/>
  </si>
  <si>
    <t>EquipmentConstChange</t>
    <phoneticPr fontId="1" type="noConversion"/>
  </si>
  <si>
    <t>6290</t>
    <phoneticPr fontId="1" type="noConversion"/>
  </si>
  <si>
    <t>PPChange</t>
    <phoneticPr fontId="1" type="noConversion"/>
  </si>
  <si>
    <t>221</t>
    <phoneticPr fontId="1" type="noConversion"/>
  </si>
  <si>
    <t>CMS_NoStateToOutOfService</t>
    <phoneticPr fontId="1" type="noConversion"/>
  </si>
  <si>
    <t>224</t>
    <phoneticPr fontId="1" type="noConversion"/>
  </si>
  <si>
    <t xml:space="preserve">CMS_InServiceToOutOfService </t>
    <phoneticPr fontId="1" type="noConversion"/>
  </si>
  <si>
    <t xml:space="preserve">CMS_OutOfServiceToInService </t>
    <phoneticPr fontId="1" type="noConversion"/>
  </si>
  <si>
    <t>223</t>
    <phoneticPr fontId="1" type="noConversion"/>
  </si>
  <si>
    <t>229</t>
    <phoneticPr fontId="1" type="noConversion"/>
  </si>
  <si>
    <t>1004</t>
    <phoneticPr fontId="1" type="noConversion"/>
  </si>
  <si>
    <t>1005</t>
    <phoneticPr fontId="1" type="noConversion"/>
  </si>
  <si>
    <t xml:space="preserve">CMS_ReadyToLoadToTransferBlocked </t>
    <phoneticPr fontId="1" type="noConversion"/>
  </si>
  <si>
    <t>CarrierUnDock</t>
    <phoneticPr fontId="1" type="noConversion"/>
  </si>
  <si>
    <t>5116</t>
    <phoneticPr fontId="1" type="noConversion"/>
  </si>
  <si>
    <t>1002</t>
    <phoneticPr fontId="1" type="noConversion"/>
  </si>
  <si>
    <t>1003</t>
    <phoneticPr fontId="1" type="noConversion"/>
  </si>
  <si>
    <t>AccessModeAuto</t>
    <phoneticPr fontId="1" type="noConversion"/>
  </si>
  <si>
    <t>AccessModeManu</t>
    <phoneticPr fontId="1" type="noConversion"/>
  </si>
  <si>
    <t>5115</t>
    <phoneticPr fontId="1" type="noConversion"/>
  </si>
  <si>
    <t>CarrierDock</t>
    <phoneticPr fontId="1" type="noConversion"/>
  </si>
  <si>
    <t>5118</t>
    <phoneticPr fontId="1" type="noConversion"/>
  </si>
  <si>
    <t>CarrierUnloadComplete</t>
    <phoneticPr fontId="1" type="noConversion"/>
  </si>
  <si>
    <t>1009</t>
    <phoneticPr fontId="1" type="noConversion"/>
  </si>
  <si>
    <t>1010</t>
    <phoneticPr fontId="1" type="noConversion"/>
  </si>
  <si>
    <t>CarrierDoorOpened</t>
    <phoneticPr fontId="1" type="noConversion"/>
  </si>
  <si>
    <t>CarrierDoorClosed</t>
    <phoneticPr fontId="1" type="noConversion"/>
  </si>
  <si>
    <t>1006</t>
    <phoneticPr fontId="1" type="noConversion"/>
  </si>
  <si>
    <t>1007</t>
    <phoneticPr fontId="1" type="noConversion"/>
  </si>
  <si>
    <t>252</t>
    <phoneticPr fontId="1" type="noConversion"/>
  </si>
  <si>
    <t>253</t>
    <phoneticPr fontId="1" type="noConversion"/>
  </si>
  <si>
    <t>CMS_NotAssociatedToAssociated</t>
    <phoneticPr fontId="1" type="noConversion"/>
  </si>
  <si>
    <t xml:space="preserve">CMS_AssociatedToNotAssociated </t>
    <phoneticPr fontId="1" type="noConversion"/>
  </si>
  <si>
    <t>1001</t>
    <phoneticPr fontId="1" type="noConversion"/>
  </si>
  <si>
    <t>1000</t>
    <phoneticPr fontId="1" type="noConversion"/>
  </si>
  <si>
    <t>1013</t>
    <phoneticPr fontId="1" type="noConversion"/>
  </si>
  <si>
    <t>5119</t>
    <phoneticPr fontId="1" type="noConversion"/>
  </si>
  <si>
    <t>CarrierIDVerifyOK</t>
    <phoneticPr fontId="1" type="noConversion"/>
  </si>
  <si>
    <t>5120</t>
    <phoneticPr fontId="1" type="noConversion"/>
  </si>
  <si>
    <t>SlotmapVerifyOK</t>
    <phoneticPr fontId="1" type="noConversion"/>
  </si>
  <si>
    <t>200</t>
    <phoneticPr fontId="1" type="noConversion"/>
  </si>
  <si>
    <t xml:space="preserve">CMS_InAccessToCarrierStopped </t>
    <phoneticPr fontId="1" type="noConversion"/>
  </si>
  <si>
    <t>199</t>
    <phoneticPr fontId="1" type="noConversion"/>
  </si>
  <si>
    <t>CMS_InAccessToCarrierComplete</t>
    <phoneticPr fontId="1" type="noConversion"/>
  </si>
  <si>
    <t>198</t>
    <phoneticPr fontId="1" type="noConversion"/>
  </si>
  <si>
    <t>CMS_NotAccessedToInAccess</t>
    <phoneticPr fontId="1" type="noConversion"/>
  </si>
  <si>
    <t>PJ_NoStateToQueued</t>
    <phoneticPr fontId="1" type="noConversion"/>
  </si>
  <si>
    <t>41</t>
    <phoneticPr fontId="1" type="noConversion"/>
  </si>
  <si>
    <t xml:space="preserve">PJ_QueuedToSettingUp </t>
    <phoneticPr fontId="1" type="noConversion"/>
  </si>
  <si>
    <t>42</t>
    <phoneticPr fontId="1" type="noConversion"/>
  </si>
  <si>
    <t xml:space="preserve">PJ_SettingUpToWaitingForStart </t>
    <phoneticPr fontId="1" type="noConversion"/>
  </si>
  <si>
    <t>43</t>
    <phoneticPr fontId="1" type="noConversion"/>
  </si>
  <si>
    <t>PJ_SettingUpToProcessing</t>
    <phoneticPr fontId="1" type="noConversion"/>
  </si>
  <si>
    <t>44</t>
    <phoneticPr fontId="1" type="noConversion"/>
  </si>
  <si>
    <t xml:space="preserve">PJ_WaittingForStartToProcessing </t>
    <phoneticPr fontId="1" type="noConversion"/>
  </si>
  <si>
    <t>45</t>
    <phoneticPr fontId="1" type="noConversion"/>
  </si>
  <si>
    <t xml:space="preserve">PJ_ProcessingToProcessComplete </t>
    <phoneticPr fontId="1" type="noConversion"/>
  </si>
  <si>
    <t>46</t>
    <phoneticPr fontId="1" type="noConversion"/>
  </si>
  <si>
    <t>56</t>
    <phoneticPr fontId="1" type="noConversion"/>
  </si>
  <si>
    <t xml:space="preserve">PJ_AbortingToComplete </t>
    <phoneticPr fontId="1" type="noConversion"/>
  </si>
  <si>
    <t>57</t>
    <phoneticPr fontId="1" type="noConversion"/>
  </si>
  <si>
    <t>PJ_StoppingToComplete</t>
    <phoneticPr fontId="1" type="noConversion"/>
  </si>
  <si>
    <t>PJ_QueuedToComplete</t>
    <phoneticPr fontId="1" type="noConversion"/>
  </si>
  <si>
    <t>58</t>
    <phoneticPr fontId="1" type="noConversion"/>
  </si>
  <si>
    <t>91</t>
    <phoneticPr fontId="1" type="noConversion"/>
  </si>
  <si>
    <t>CJ_NoStateToQueued</t>
    <phoneticPr fontId="1" type="noConversion"/>
  </si>
  <si>
    <t>CJ_QueuedToSelected</t>
    <phoneticPr fontId="1" type="noConversion"/>
  </si>
  <si>
    <t>93</t>
    <phoneticPr fontId="1" type="noConversion"/>
  </si>
  <si>
    <t>96</t>
    <phoneticPr fontId="1" type="noConversion"/>
  </si>
  <si>
    <t>CJ_SelectedToWaitingForStart</t>
    <phoneticPr fontId="1" type="noConversion"/>
  </si>
  <si>
    <t>95</t>
    <phoneticPr fontId="1" type="noConversion"/>
  </si>
  <si>
    <t xml:space="preserve">CJ_SelectedToExecuting </t>
    <phoneticPr fontId="1" type="noConversion"/>
  </si>
  <si>
    <t>97</t>
    <phoneticPr fontId="1" type="noConversion"/>
  </si>
  <si>
    <t xml:space="preserve">CJ_WaittingForStartToExecuting </t>
    <phoneticPr fontId="1" type="noConversion"/>
  </si>
  <si>
    <t>100</t>
    <phoneticPr fontId="1" type="noConversion"/>
  </si>
  <si>
    <t>CJ_ExecutingToCompleted</t>
    <phoneticPr fontId="1" type="noConversion"/>
  </si>
  <si>
    <t xml:space="preserve">CJ_ActiveToCompleted(Stop) </t>
    <phoneticPr fontId="1" type="noConversion"/>
  </si>
  <si>
    <t>101</t>
    <phoneticPr fontId="1" type="noConversion"/>
  </si>
  <si>
    <t>102</t>
    <phoneticPr fontId="1" type="noConversion"/>
  </si>
  <si>
    <t>CJ_ActiveToCompleted(Abort)</t>
    <phoneticPr fontId="1" type="noConversion"/>
  </si>
  <si>
    <t>92</t>
    <phoneticPr fontId="1" type="noConversion"/>
  </si>
  <si>
    <t xml:space="preserve">CJ_QueuedToComplete(Termination) </t>
    <phoneticPr fontId="1" type="noConversion"/>
  </si>
  <si>
    <t xml:space="preserve">STS_Transport_NoStateToAtSource </t>
    <phoneticPr fontId="1" type="noConversion"/>
  </si>
  <si>
    <t>141</t>
    <phoneticPr fontId="1" type="noConversion"/>
  </si>
  <si>
    <t xml:space="preserve">STS_Transport_AtSourceToAtWork </t>
    <phoneticPr fontId="1" type="noConversion"/>
  </si>
  <si>
    <t>142</t>
    <phoneticPr fontId="1" type="noConversion"/>
  </si>
  <si>
    <t xml:space="preserve">STS_Transport_AtWorkToAtDestination </t>
    <phoneticPr fontId="1" type="noConversion"/>
  </si>
  <si>
    <t>145</t>
    <phoneticPr fontId="1" type="noConversion"/>
  </si>
  <si>
    <t xml:space="preserve">STS_Transport_AtDestinationToExtinction </t>
    <phoneticPr fontId="1" type="noConversion"/>
  </si>
  <si>
    <t>147</t>
    <phoneticPr fontId="1" type="noConversion"/>
  </si>
  <si>
    <t xml:space="preserve">STS_AnySubstateSubStateToExtinction </t>
    <phoneticPr fontId="1" type="noConversion"/>
  </si>
  <si>
    <t>149</t>
    <phoneticPr fontId="1" type="noConversion"/>
  </si>
  <si>
    <t>150</t>
    <phoneticPr fontId="1" type="noConversion"/>
  </si>
  <si>
    <t>STS_Processing_NoStateToNeedsProcessing</t>
    <phoneticPr fontId="1" type="noConversion"/>
  </si>
  <si>
    <t xml:space="preserve">STS_Processing_ProcessingToInProcess </t>
    <phoneticPr fontId="1" type="noConversion"/>
  </si>
  <si>
    <t>151</t>
    <phoneticPr fontId="1" type="noConversion"/>
  </si>
  <si>
    <t>152</t>
    <phoneticPr fontId="1" type="noConversion"/>
  </si>
  <si>
    <t>STS_Processing_InProcessToProcessingComplete</t>
    <phoneticPr fontId="1" type="noConversion"/>
  </si>
  <si>
    <t>154</t>
    <phoneticPr fontId="1" type="noConversion"/>
  </si>
  <si>
    <t>155</t>
    <phoneticPr fontId="1" type="noConversion"/>
  </si>
  <si>
    <t>156</t>
    <phoneticPr fontId="1" type="noConversion"/>
  </si>
  <si>
    <t>157</t>
    <phoneticPr fontId="1" type="noConversion"/>
  </si>
  <si>
    <t>158</t>
    <phoneticPr fontId="1" type="noConversion"/>
  </si>
  <si>
    <t>STS_Processing_InProcessToProcessingComplete(REJECTED)</t>
    <phoneticPr fontId="1" type="noConversion"/>
  </si>
  <si>
    <t>STS_Processing_InProcessToProcessingComplete(STOPPED)</t>
    <phoneticPr fontId="1" type="noConversion"/>
  </si>
  <si>
    <t>STS_Processing_InProcessToProcessingComplete(ABORTED)</t>
    <phoneticPr fontId="1" type="noConversion"/>
  </si>
  <si>
    <t>STS_Processing_InProcessToProcessingComplete(LOST)</t>
    <phoneticPr fontId="1" type="noConversion"/>
  </si>
  <si>
    <t>STS_Processing_InProcessToProcessingComplete(SKIPPED)</t>
    <phoneticPr fontId="1" type="noConversion"/>
  </si>
  <si>
    <t>161</t>
    <phoneticPr fontId="1" type="noConversion"/>
  </si>
  <si>
    <t>STS_SubstLoc_UnOccupiedToOccupied</t>
    <phoneticPr fontId="1" type="noConversion"/>
  </si>
  <si>
    <t>162</t>
    <phoneticPr fontId="1" type="noConversion"/>
  </si>
  <si>
    <t xml:space="preserve">STS_SubstLoc_OccupiedToUnOccupied </t>
    <phoneticPr fontId="1" type="noConversion"/>
  </si>
  <si>
    <t>ACTIVE_PRJOBID</t>
    <phoneticPr fontId="5" type="noConversion"/>
  </si>
  <si>
    <t>ACTIVE_PRJOB_PORTID</t>
    <phoneticPr fontId="5" type="noConversion"/>
  </si>
  <si>
    <t>ACTIVE_PRJOB_CARRIERID</t>
    <phoneticPr fontId="5" type="noConversion"/>
  </si>
  <si>
    <t>ACTIVE_RECIPEID</t>
    <phoneticPr fontId="5" type="noConversion"/>
  </si>
  <si>
    <t>ACTIVE_PRJOB_LOTID</t>
    <phoneticPr fontId="5" type="noConversion"/>
  </si>
  <si>
    <t>ACTIVE_CONTROLJOBID</t>
    <phoneticPr fontId="5" type="noConversion"/>
  </si>
  <si>
    <t>CHAMBER_ID</t>
    <phoneticPr fontId="5" type="noConversion"/>
  </si>
  <si>
    <t>STAGE_ID</t>
    <phoneticPr fontId="5" type="noConversion"/>
  </si>
  <si>
    <t>RECIPE_STEP</t>
    <phoneticPr fontId="5" type="noConversion"/>
  </si>
  <si>
    <t>5199</t>
    <phoneticPr fontId="1" type="noConversion"/>
  </si>
  <si>
    <t>ChamberStart</t>
    <phoneticPr fontId="1" type="noConversion"/>
  </si>
  <si>
    <t>5200</t>
    <phoneticPr fontId="1" type="noConversion"/>
  </si>
  <si>
    <t>ChamberEnd</t>
    <phoneticPr fontId="1" type="noConversion"/>
  </si>
  <si>
    <t>5799</t>
    <phoneticPr fontId="1" type="noConversion"/>
  </si>
  <si>
    <t>ProcessRecipeStart</t>
    <phoneticPr fontId="1" type="noConversion"/>
  </si>
  <si>
    <t>5800</t>
    <phoneticPr fontId="1" type="noConversion"/>
  </si>
  <si>
    <t>ProcessRecipeEnd</t>
    <phoneticPr fontId="1" type="noConversion"/>
  </si>
  <si>
    <t>5709</t>
    <phoneticPr fontId="1" type="noConversion"/>
  </si>
  <si>
    <t>CleanRecipeStart</t>
    <phoneticPr fontId="1" type="noConversion"/>
  </si>
  <si>
    <t>5710</t>
    <phoneticPr fontId="1" type="noConversion"/>
  </si>
  <si>
    <t>CleanRecipeEnd</t>
    <phoneticPr fontId="1" type="noConversion"/>
  </si>
  <si>
    <t>5789</t>
    <phoneticPr fontId="1" type="noConversion"/>
  </si>
  <si>
    <t>5790</t>
    <phoneticPr fontId="1" type="noConversion"/>
  </si>
  <si>
    <t>ProcessRecipeStepStart</t>
    <phoneticPr fontId="1" type="noConversion"/>
  </si>
  <si>
    <t>ProcessRecipeStepEnd</t>
    <phoneticPr fontId="1" type="noConversion"/>
  </si>
  <si>
    <t>5699</t>
    <phoneticPr fontId="1" type="noConversion"/>
  </si>
  <si>
    <t>CleanRecipeStepStart</t>
    <phoneticPr fontId="1" type="noConversion"/>
  </si>
  <si>
    <t>5700</t>
    <phoneticPr fontId="1" type="noConversion"/>
  </si>
  <si>
    <t>CleanRecipeStepEnd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</si>
</sst>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新細明體"/>
      <family val="2"/>
      <scheme val="minor"/>
    </font>
    <font>
      <sz val="9"/>
      <name val="新細明體"/>
      <family val="3"/>
      <charset val="134"/>
      <scheme val="minor"/>
    </font>
    <font>
      <b/>
      <sz val="12"/>
      <color theme="0"/>
      <name val="Times New Roman"/>
      <family val="1"/>
    </font>
    <font>
      <sz val="12"/>
      <color theme="1"/>
      <name val="Times New Roman"/>
      <family val="1"/>
    </font>
    <font>
      <sz val="12"/>
      <color theme="1"/>
      <name val="細明體"/>
      <family val="1"/>
      <charset val="136"/>
    </font>
    <font>
      <sz val="9"/>
      <name val="新細明體"/>
      <family val="3"/>
      <charset val="136"/>
      <scheme val="minor"/>
    </font>
    <font>
      <sz val="11"/>
      <color theme="1"/>
      <name val="新細明體"/>
      <family val="1"/>
      <charset val="136"/>
      <scheme val="major"/>
    </font>
    <font>
      <b/>
      <sz val="12"/>
      <color theme="0"/>
      <name val="新細明體"/>
      <family val="1"/>
      <charset val="136"/>
      <scheme val="major"/>
    </font>
    <font>
      <b/>
      <sz val="12"/>
      <color theme="1"/>
      <name val="新細明體"/>
      <family val="1"/>
      <charset val="136"/>
      <scheme val="major"/>
    </font>
  </fonts>
  <fills count="6">
    <fill>
      <patternFill patternType="none"/>
    </fill>
    <fill>
      <patternFill patternType="gray125"/>
    </fill>
    <fill>
      <patternFill patternType="solid">
        <fgColor theme="4" tint="-0.499984740745262"/>
        <bgColor indexed="64"/>
      </patternFill>
    </fill>
    <fill>
      <patternFill patternType="solid">
        <fgColor rgb="FF92D050"/>
        <bgColor indexed="64"/>
      </patternFill>
    </fill>
    <fill>
      <patternFill patternType="solid">
        <fgColor rgb="FF244062"/>
        <bgColor indexed="64"/>
      </patternFill>
    </fill>
    <fill>
      <patternFill patternType="solid">
        <fgColor theme="0"/>
        <bgColor indexed="64"/>
      </patternFill>
    </fill>
  </fills>
  <borders count="17">
    <border>
      <left/>
      <right/>
      <top/>
      <bottom/>
      <diagonal/>
    </border>
    <border>
      <left style="medium">
        <color rgb="FFC00000"/>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indexed="64"/>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ck">
        <color rgb="FFC00000"/>
      </left>
      <right style="thick">
        <color rgb="FFC00000"/>
      </right>
      <top style="thick">
        <color rgb="FFC00000"/>
      </top>
      <bottom style="thick">
        <color rgb="FFC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top style="thick">
        <color rgb="FFC00000"/>
      </top>
      <bottom/>
      <diagonal/>
    </border>
    <border>
      <left/>
      <right/>
      <top style="thick">
        <color rgb="FFC00000"/>
      </top>
      <bottom/>
      <diagonal/>
    </border>
    <border>
      <left/>
      <right style="thick">
        <color rgb="FFC00000"/>
      </right>
      <top style="thick">
        <color rgb="FFC00000"/>
      </top>
      <bottom/>
      <diagonal/>
    </border>
    <border>
      <left style="thick">
        <color rgb="FFC00000"/>
      </left>
      <right style="medium">
        <color rgb="FFC00000"/>
      </right>
      <top style="medium">
        <color rgb="FFC00000"/>
      </top>
      <bottom style="medium">
        <color rgb="FFC00000"/>
      </bottom>
      <diagonal/>
    </border>
    <border>
      <left style="medium">
        <color rgb="FFC00000"/>
      </left>
      <right style="thick">
        <color rgb="FFC00000"/>
      </right>
      <top style="medium">
        <color rgb="FFC00000"/>
      </top>
      <bottom style="medium">
        <color rgb="FFC00000"/>
      </bottom>
      <diagonal/>
    </border>
    <border>
      <left style="thick">
        <color rgb="FFC00000"/>
      </left>
      <right style="medium">
        <color rgb="FFC00000"/>
      </right>
      <top style="medium">
        <color rgb="FFC00000"/>
      </top>
      <bottom style="thick">
        <color rgb="FFC00000"/>
      </bottom>
      <diagonal/>
    </border>
    <border>
      <left style="medium">
        <color rgb="FFC00000"/>
      </left>
      <right style="medium">
        <color rgb="FFC00000"/>
      </right>
      <top style="medium">
        <color rgb="FFC00000"/>
      </top>
      <bottom style="thick">
        <color rgb="FFC00000"/>
      </bottom>
      <diagonal/>
    </border>
    <border>
      <left style="medium">
        <color rgb="FFC00000"/>
      </left>
      <right style="thick">
        <color rgb="FFC00000"/>
      </right>
      <top style="medium">
        <color rgb="FFC00000"/>
      </top>
      <bottom style="thick">
        <color rgb="FFC00000"/>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s>
  <cellStyleXfs count="1">
    <xf numFmtId="0" fontId="0" fillId="0" borderId="0"/>
  </cellStyleXfs>
  <cellXfs count="65">
    <xf numFmtId="0" fontId="0" fillId="0" borderId="0" xfId="0"/>
    <xf numFmtId="0" fontId="2" fillId="2" borderId="0" xfId="0" applyFont="1" applyFill="1"/>
    <xf numFmtId="0" fontId="3" fillId="0" borderId="0" xfId="0" applyFont="1"/>
    <xf numFmtId="0" fontId="2" fillId="2" borderId="0" xfId="0" applyFont="1" applyFill="1" applyAlignment="1">
      <alignment horizontal="left"/>
    </xf>
    <xf numFmtId="0" fontId="3" fillId="0" borderId="0" xfId="0" applyFont="1" applyAlignment="1">
      <alignment horizontal="left"/>
    </xf>
    <xf numFmtId="0" fontId="3" fillId="0" borderId="0" xfId="0" applyFont="1" applyAlignment="1">
      <alignment wrapText="1"/>
    </xf>
    <xf numFmtId="0" fontId="3" fillId="0" borderId="0" xfId="0" applyFont="1" applyAlignment="1">
      <alignment vertical="top" wrapText="1"/>
    </xf>
    <xf numFmtId="0" fontId="2" fillId="4" borderId="0" xfId="0" applyFont="1" applyFill="1" applyAlignment="1">
      <alignment horizontal="left"/>
    </xf>
    <xf numFmtId="0" fontId="3" fillId="5" borderId="0" xfId="0" applyFont="1" applyFill="1"/>
    <xf numFmtId="0" fontId="2" fillId="2" borderId="0" xfId="0" applyFont="1" applyFill="1" applyAlignment="1">
      <alignment vertical="center"/>
    </xf>
    <xf numFmtId="0" fontId="2" fillId="2" borderId="0" xfId="0" applyFont="1" applyFill="1" applyAlignment="1">
      <alignment vertical="center" wrapText="1"/>
    </xf>
    <xf numFmtId="0" fontId="3" fillId="0" borderId="0" xfId="0" applyFont="1" applyAlignment="1">
      <alignment vertical="center"/>
    </xf>
    <xf numFmtId="0" fontId="3" fillId="0" borderId="0" xfId="0" applyFont="1" applyProtection="1">
      <protection locked="0"/>
    </xf>
    <xf numFmtId="49" fontId="3" fillId="0" borderId="0" xfId="0" applyNumberFormat="1" applyFont="1" applyAlignment="1" applyProtection="1">
      <alignment vertical="center"/>
      <protection locked="0"/>
    </xf>
    <xf numFmtId="49" fontId="3" fillId="0" borderId="0" xfId="0" applyNumberFormat="1" applyFont="1" applyProtection="1">
      <protection locked="0"/>
    </xf>
    <xf numFmtId="49" fontId="2" fillId="2" borderId="0" xfId="0" applyNumberFormat="1" applyFont="1" applyFill="1" applyProtection="1">
      <protection locked="0"/>
    </xf>
    <xf numFmtId="0" fontId="6" fillId="0" borderId="0" xfId="0" applyFont="1" applyAlignment="1">
      <alignment horizontal="left"/>
    </xf>
    <xf numFmtId="0" fontId="3" fillId="0" borderId="0" xfId="0" applyFont="1" applyAlignment="1">
      <alignment vertical="top"/>
    </xf>
    <xf numFmtId="49" fontId="3" fillId="0" borderId="0" xfId="0" applyNumberFormat="1" applyFont="1" applyAlignment="1" applyProtection="1">
      <alignment vertical="top"/>
      <protection locked="0"/>
    </xf>
    <xf numFmtId="0" fontId="3" fillId="3" borderId="3" xfId="0" applyFont="1" applyFill="1" applyBorder="1"/>
    <xf numFmtId="0" fontId="3" fillId="0" borderId="3" xfId="0" applyFont="1" applyBorder="1"/>
    <xf numFmtId="0" fontId="3" fillId="5" borderId="3" xfId="0" applyFont="1" applyFill="1" applyBorder="1"/>
    <xf numFmtId="49" fontId="3" fillId="0" borderId="3" xfId="0" applyNumberFormat="1" applyFont="1" applyBorder="1" applyProtection="1">
      <protection locked="0"/>
    </xf>
    <xf numFmtId="0" fontId="6" fillId="0" borderId="2" xfId="0" applyFont="1" applyBorder="1" applyAlignment="1">
      <alignment horizontal="left" vertical="center"/>
    </xf>
    <xf numFmtId="0" fontId="0" fillId="0" borderId="2" xfId="0" applyBorder="1" applyAlignment="1">
      <alignment vertical="center"/>
    </xf>
    <xf numFmtId="0" fontId="6" fillId="0" borderId="0" xfId="0" applyFont="1" applyAlignment="1">
      <alignment horizontal="left" vertical="center"/>
    </xf>
    <xf numFmtId="49" fontId="6" fillId="0" borderId="0" xfId="0" applyNumberFormat="1" applyFont="1" applyAlignment="1">
      <alignment horizontal="left" vertical="center"/>
    </xf>
    <xf numFmtId="0" fontId="0" fillId="0" borderId="0" xfId="0" applyAlignment="1">
      <alignment vertical="center"/>
    </xf>
    <xf numFmtId="0" fontId="6" fillId="0" borderId="0" xfId="0" applyFont="1" applyAlignment="1" applyProtection="1">
      <alignment horizontal="left" vertical="center"/>
      <protection locked="0"/>
    </xf>
    <xf numFmtId="0" fontId="6" fillId="0" borderId="0" xfId="0" applyFont="1" applyAlignment="1">
      <alignment horizontal="left" vertical="center" wrapText="1"/>
    </xf>
    <xf numFmtId="0" fontId="3" fillId="0" borderId="0" xfId="0" applyFont="1" applyAlignment="1" applyProtection="1">
      <alignment horizontal="left" vertical="center"/>
      <protection locked="0"/>
    </xf>
    <xf numFmtId="0" fontId="3" fillId="0" borderId="0" xfId="0" applyFont="1" applyAlignment="1" applyProtection="1">
      <alignment horizontal="left" vertical="top"/>
      <protection locked="0"/>
    </xf>
    <xf numFmtId="0" fontId="3" fillId="0" borderId="0" xfId="0" applyFont="1" applyAlignment="1" applyProtection="1">
      <alignment horizontal="left"/>
      <protection locked="0"/>
    </xf>
    <xf numFmtId="0" fontId="2" fillId="2" borderId="0" xfId="0" applyFont="1" applyFill="1" applyAlignment="1" applyProtection="1">
      <alignment horizontal="center"/>
      <protection locked="0"/>
    </xf>
    <xf numFmtId="0" fontId="3" fillId="5" borderId="3" xfId="0" applyFont="1" applyFill="1" applyBorder="1" applyAlignment="1" applyProtection="1">
      <alignment horizontal="left"/>
      <protection locked="0"/>
    </xf>
    <xf numFmtId="0" fontId="2" fillId="2" borderId="0" xfId="0" applyFont="1" applyFill="1" applyAlignment="1" applyProtection="1">
      <alignment horizontal="left"/>
      <protection locked="0"/>
    </xf>
    <xf numFmtId="0" fontId="3" fillId="3" borderId="3" xfId="0" applyFont="1" applyFill="1" applyBorder="1" applyAlignment="1">
      <alignment horizontal="left"/>
    </xf>
    <xf numFmtId="49" fontId="6" fillId="0" borderId="1" xfId="0" applyNumberFormat="1" applyFont="1" applyBorder="1" applyAlignment="1" applyProtection="1">
      <alignment vertical="center"/>
      <protection locked="0"/>
    </xf>
    <xf numFmtId="0" fontId="6" fillId="0" borderId="0" xfId="0" applyFont="1" applyAlignment="1">
      <alignment vertical="center" wrapText="1"/>
    </xf>
    <xf numFmtId="0" fontId="7" fillId="2" borderId="2" xfId="0" applyFont="1" applyFill="1" applyBorder="1" applyAlignment="1" applyProtection="1">
      <alignment horizontal="center" vertical="center" wrapText="1"/>
      <protection locked="0"/>
    </xf>
    <xf numFmtId="0" fontId="8" fillId="0" borderId="0" xfId="0" applyFont="1" applyAlignment="1">
      <alignment horizontal="center" vertical="center"/>
    </xf>
    <xf numFmtId="0" fontId="3" fillId="0" borderId="0" xfId="0" applyFont="1" applyAlignment="1" applyProtection="1">
      <alignment vertical="center"/>
      <protection locked="0"/>
    </xf>
    <xf numFmtId="0" fontId="3" fillId="0" borderId="0" xfId="0" applyFont="1" applyAlignment="1" applyProtection="1">
      <alignment vertical="top"/>
      <protection locked="0"/>
    </xf>
    <xf numFmtId="0" fontId="2" fillId="2" borderId="0" xfId="0" applyFont="1" applyFill="1" applyProtection="1">
      <protection locked="0"/>
    </xf>
    <xf numFmtId="49" fontId="6" fillId="0" borderId="0" xfId="0" applyNumberFormat="1" applyFont="1" applyAlignment="1" applyProtection="1">
      <alignment horizontal="left" vertical="center"/>
      <protection locked="0"/>
    </xf>
    <xf numFmtId="0" fontId="7" fillId="2" borderId="5" xfId="0" applyFont="1" applyFill="1" applyBorder="1" applyAlignment="1">
      <alignment horizontal="center" vertical="center"/>
    </xf>
    <xf numFmtId="0" fontId="6" fillId="0" borderId="5" xfId="0" applyFont="1" applyBorder="1" applyAlignment="1">
      <alignment horizontal="left" vertical="center"/>
    </xf>
    <xf numFmtId="0" fontId="7" fillId="2" borderId="6" xfId="0" applyFont="1" applyFill="1" applyBorder="1" applyAlignment="1" applyProtection="1">
      <alignment horizontal="center" vertical="center" wrapText="1"/>
      <protection locked="0"/>
    </xf>
    <xf numFmtId="0" fontId="6" fillId="0" borderId="6" xfId="0" applyFont="1" applyBorder="1" applyAlignment="1">
      <alignment vertical="center" wrapText="1"/>
    </xf>
    <xf numFmtId="0" fontId="6" fillId="0" borderId="6" xfId="0" applyFont="1" applyBorder="1" applyAlignment="1">
      <alignment horizontal="left" vertical="center" wrapText="1"/>
    </xf>
    <xf numFmtId="49" fontId="7" fillId="2" borderId="7" xfId="0" applyNumberFormat="1" applyFont="1" applyFill="1" applyBorder="1" applyAlignment="1" applyProtection="1">
      <alignment horizontal="center" vertical="center"/>
      <protection locked="0"/>
    </xf>
    <xf numFmtId="0" fontId="7" fillId="2" borderId="8" xfId="0" applyFont="1" applyFill="1" applyBorder="1" applyAlignment="1" applyProtection="1">
      <alignment horizontal="center" vertical="center"/>
      <protection locked="0"/>
    </xf>
    <xf numFmtId="49" fontId="7" fillId="2" borderId="9" xfId="0" applyNumberFormat="1" applyFont="1" applyFill="1" applyBorder="1" applyAlignment="1" applyProtection="1">
      <alignment horizontal="center" vertical="center"/>
      <protection locked="0"/>
    </xf>
    <xf numFmtId="49" fontId="6" fillId="0" borderId="10" xfId="0" applyNumberFormat="1" applyFont="1" applyBorder="1" applyAlignment="1" applyProtection="1">
      <alignment vertical="center"/>
      <protection locked="0"/>
    </xf>
    <xf numFmtId="49" fontId="6" fillId="0" borderId="11" xfId="0" applyNumberFormat="1" applyFont="1" applyBorder="1" applyAlignment="1" applyProtection="1">
      <alignment vertical="center"/>
      <protection locked="0"/>
    </xf>
    <xf numFmtId="49" fontId="6" fillId="0" borderId="12" xfId="0" applyNumberFormat="1" applyFont="1" applyBorder="1" applyAlignment="1" applyProtection="1">
      <alignment vertical="center"/>
      <protection locked="0"/>
    </xf>
    <xf numFmtId="49" fontId="6" fillId="0" borderId="13" xfId="0" applyNumberFormat="1" applyFont="1" applyBorder="1" applyAlignment="1" applyProtection="1">
      <alignment vertical="center"/>
      <protection locked="0"/>
    </xf>
    <xf numFmtId="49" fontId="6" fillId="0" borderId="14" xfId="0" applyNumberFormat="1" applyFont="1" applyBorder="1" applyAlignment="1" applyProtection="1">
      <alignment vertical="center"/>
      <protection locked="0"/>
    </xf>
    <xf numFmtId="0" fontId="3" fillId="0" borderId="4" xfId="0" applyFont="1" applyBorder="1" applyAlignment="1" applyProtection="1">
      <alignment vertical="top"/>
      <protection locked="0"/>
    </xf>
    <xf numFmtId="0" fontId="3" fillId="0" borderId="4" xfId="0" applyFont="1" applyBorder="1" applyProtection="1">
      <protection locked="0"/>
    </xf>
    <xf numFmtId="0" fontId="3" fillId="0" borderId="4" xfId="0" applyFont="1" applyBorder="1" applyAlignment="1" applyProtection="1">
      <alignment vertical="top" wrapText="1"/>
      <protection locked="0"/>
    </xf>
    <xf numFmtId="0" fontId="3" fillId="3" borderId="15" xfId="0" applyFont="1" applyFill="1" applyBorder="1"/>
    <xf numFmtId="49" fontId="3" fillId="0" borderId="4" xfId="0" applyNumberFormat="1" applyFont="1" applyBorder="1" applyProtection="1">
      <protection locked="0"/>
    </xf>
    <xf numFmtId="0" fontId="3" fillId="3" borderId="16" xfId="0" applyFont="1" applyFill="1" applyBorder="1" applyAlignment="1">
      <alignment horizontal="left"/>
    </xf>
    <xf numFmtId="0" fontId="3" fillId="3" borderId="15" xfId="0" applyFont="1" applyFill="1" applyBorder="1" applyAlignment="1">
      <alignment horizontal="left"/>
    </xf>
  </cellXfs>
  <cellStyles count="1">
    <cellStyle name="一般" xfId="0" builtinId="0"/>
  </cellStyles>
  <dxfs count="0"/>
  <tableStyles count="0" defaultTableStyle="TableStyleMedium2" defaultPivotStyle="PivotStyleMedium9"/>
  <colors>
    <mruColors>
      <color rgb="FFFFFF99"/>
      <color rgb="FF92D050"/>
      <color rgb="FF24406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196850</xdr:colOff>
      <xdr:row>1</xdr:row>
      <xdr:rowOff>84013</xdr:rowOff>
    </xdr:from>
    <xdr:to>
      <xdr:col>15</xdr:col>
      <xdr:colOff>481202</xdr:colOff>
      <xdr:row>29</xdr:row>
      <xdr:rowOff>55027</xdr:rowOff>
    </xdr:to>
    <xdr:pic>
      <xdr:nvPicPr>
        <xdr:cNvPr id="2" name="圖片 1">
          <a:extLst>
            <a:ext uri="{FF2B5EF4-FFF2-40B4-BE49-F238E27FC236}">
              <a16:creationId xmlns:a16="http://schemas.microsoft.com/office/drawing/2014/main" id="{D379B433-E893-2AF9-B513-32DDB7765F09}"/>
            </a:ext>
          </a:extLst>
        </xdr:cNvPr>
        <xdr:cNvPicPr>
          <a:picLocks noChangeAspect="1"/>
        </xdr:cNvPicPr>
      </xdr:nvPicPr>
      <xdr:blipFill>
        <a:blip xmlns:r="http://schemas.openxmlformats.org/officeDocument/2006/relationships" r:embed="rId1"/>
        <a:stretch>
          <a:fillRect/>
        </a:stretch>
      </xdr:blipFill>
      <xdr:spPr>
        <a:xfrm>
          <a:off x="196850" y="268163"/>
          <a:ext cx="8666352" cy="5127214"/>
        </a:xfrm>
        <a:prstGeom prst="rect">
          <a:avLst/>
        </a:prstGeom>
      </xdr:spPr>
    </xdr:pic>
    <xdr:clientData/>
  </xdr:twoCellAnchor>
  <xdr:twoCellAnchor editAs="oneCell">
    <xdr:from>
      <xdr:col>0</xdr:col>
      <xdr:colOff>177800</xdr:colOff>
      <xdr:row>29</xdr:row>
      <xdr:rowOff>63147</xdr:rowOff>
    </xdr:from>
    <xdr:to>
      <xdr:col>15</xdr:col>
      <xdr:colOff>551700</xdr:colOff>
      <xdr:row>44</xdr:row>
      <xdr:rowOff>146813</xdr:rowOff>
    </xdr:to>
    <xdr:pic>
      <xdr:nvPicPr>
        <xdr:cNvPr id="3" name="圖片 2">
          <a:extLst>
            <a:ext uri="{FF2B5EF4-FFF2-40B4-BE49-F238E27FC236}">
              <a16:creationId xmlns:a16="http://schemas.microsoft.com/office/drawing/2014/main" id="{AFAFAECB-1242-501A-FBAA-DD296BD50234}"/>
            </a:ext>
          </a:extLst>
        </xdr:cNvPr>
        <xdr:cNvPicPr>
          <a:picLocks noChangeAspect="1"/>
        </xdr:cNvPicPr>
      </xdr:nvPicPr>
      <xdr:blipFill>
        <a:blip xmlns:r="http://schemas.openxmlformats.org/officeDocument/2006/relationships" r:embed="rId2"/>
        <a:stretch>
          <a:fillRect/>
        </a:stretch>
      </xdr:blipFill>
      <xdr:spPr>
        <a:xfrm>
          <a:off x="177800" y="5403497"/>
          <a:ext cx="8755900" cy="284591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6E46C-6A9E-4446-B889-09CB98012230}">
  <dimension ref="A1"/>
  <sheetViews>
    <sheetView topLeftCell="A13" workbookViewId="0">
      <selection activeCell="G47" sqref="G47"/>
    </sheetView>
  </sheetViews>
  <sheetFormatPr defaultRowHeight="15.75" x14ac:dyDescent="0.25"/>
  <sheetData/>
  <sheetProtection algorithmName="SHA-512" hashValue="MDDkHMD+ACGIk2zMTjFwLtpnT8ifNnpPba7xHPxpY6Kuv2fwODI3gpJHZ6MuK4n1P1yvMVOs5clF5w/n2tHuFw==" saltValue="XN7LSRirIEpAWciXXp3BeQ==" spinCount="100000" sheet="1" objects="1" scenarios="1" selectLockedCells="1" selectUnlockedCells="1"/>
  <phoneticPr fontId="5" type="noConversion"/>
  <pageMargins left="0.7" right="0.7" top="0.75" bottom="0.75" header="0.3" footer="0.3"/>
  <pageSetup paperSize="9" orientation="portrait" r:id="rId1"/>
  <headerFooter>
    <oddHeader>&amp;L&amp;"Calibri"&amp;10&amp;K000000Security C - TSMC Secret&amp;1#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99"/>
  </sheetPr>
  <dimension ref="A1:L796"/>
  <sheetViews>
    <sheetView tabSelected="1" topLeftCell="A765" zoomScale="85" zoomScaleNormal="85" workbookViewId="0">
      <selection activeCell="E778" sqref="E778"/>
    </sheetView>
  </sheetViews>
  <sheetFormatPr defaultColWidth="8.7109375" defaultRowHeight="15.75" x14ac:dyDescent="0.25"/>
  <cols>
    <col min="1" max="1" width="9.7109375" style="2" bestFit="1" customWidth="1"/>
    <col min="2" max="2" width="8.85546875" style="2" bestFit="1" customWidth="1"/>
    <col min="3" max="3" width="50.28515625" style="2" customWidth="1"/>
    <col min="4" max="4" width="46.42578125" style="2" customWidth="1"/>
    <col min="5" max="5" width="29.42578125" style="2" customWidth="1"/>
    <col min="6" max="6" width="17.140625" style="14" customWidth="1"/>
    <col min="7" max="7" width="52.7109375" style="2" bestFit="1" customWidth="1"/>
    <col min="8" max="8" width="28.140625" style="32" customWidth="1"/>
    <col min="9" max="9" width="13.42578125" style="32" bestFit="1" customWidth="1"/>
    <col min="10" max="10" width="33.42578125" style="14" bestFit="1" customWidth="1"/>
    <col min="11" max="11" width="28.5703125" style="12" bestFit="1" customWidth="1"/>
    <col min="12" max="12" width="23.42578125" style="14" bestFit="1" customWidth="1"/>
    <col min="13" max="16384" width="8.7109375" style="2"/>
  </cols>
  <sheetData>
    <row r="1" spans="1:12" s="11" customFormat="1" ht="32.25" thickBot="1" x14ac:dyDescent="0.3">
      <c r="A1" s="9" t="s">
        <v>12</v>
      </c>
      <c r="B1" s="9" t="s">
        <v>13</v>
      </c>
      <c r="C1" s="9" t="s">
        <v>63</v>
      </c>
      <c r="D1" s="9" t="s">
        <v>64</v>
      </c>
      <c r="E1" s="10" t="s">
        <v>256</v>
      </c>
      <c r="F1" s="13"/>
      <c r="H1" s="30"/>
      <c r="I1" s="30"/>
      <c r="J1" s="13"/>
      <c r="K1" s="41"/>
      <c r="L1" s="13"/>
    </row>
    <row r="2" spans="1:12" s="17" customFormat="1" ht="17.25" thickTop="1" thickBot="1" x14ac:dyDescent="0.3">
      <c r="A2" s="60" t="s">
        <v>372</v>
      </c>
      <c r="B2" s="60" t="s">
        <v>373</v>
      </c>
      <c r="C2" s="17" t="s">
        <v>62</v>
      </c>
      <c r="D2" s="58" t="s">
        <v>453</v>
      </c>
      <c r="E2" s="58" t="s">
        <v>371</v>
      </c>
      <c r="F2" s="18"/>
      <c r="H2" s="31"/>
      <c r="I2" s="31"/>
      <c r="J2" s="18"/>
      <c r="K2" s="42"/>
      <c r="L2" s="18"/>
    </row>
    <row r="3" spans="1:12" ht="17.25" thickTop="1" thickBot="1" x14ac:dyDescent="0.3">
      <c r="A3" s="12"/>
      <c r="B3" s="12"/>
      <c r="C3" s="2" t="s">
        <v>65</v>
      </c>
      <c r="D3" s="59" t="s">
        <v>453</v>
      </c>
      <c r="E3" s="12"/>
    </row>
    <row r="4" spans="1:12" ht="17.25" thickTop="1" thickBot="1" x14ac:dyDescent="0.3">
      <c r="A4" s="12"/>
      <c r="B4" s="12"/>
      <c r="C4" s="2" t="s">
        <v>66</v>
      </c>
      <c r="D4" s="59" t="s">
        <v>453</v>
      </c>
      <c r="E4" s="12"/>
    </row>
    <row r="5" spans="1:12" ht="17.25" thickTop="1" thickBot="1" x14ac:dyDescent="0.3">
      <c r="A5" s="12"/>
      <c r="B5" s="12"/>
      <c r="C5" s="2" t="s">
        <v>67</v>
      </c>
      <c r="D5" s="59" t="s">
        <v>453</v>
      </c>
      <c r="E5" s="12"/>
    </row>
    <row r="6" spans="1:12" ht="17.25" thickTop="1" thickBot="1" x14ac:dyDescent="0.3">
      <c r="A6" s="12"/>
      <c r="B6" s="12"/>
      <c r="C6" s="2" t="s">
        <v>68</v>
      </c>
      <c r="D6" s="59" t="s">
        <v>453</v>
      </c>
      <c r="E6" s="12"/>
    </row>
    <row r="7" spans="1:12" ht="17.25" thickTop="1" thickBot="1" x14ac:dyDescent="0.3">
      <c r="A7" s="12"/>
      <c r="B7" s="12"/>
      <c r="C7" s="2" t="s">
        <v>69</v>
      </c>
      <c r="D7" s="59" t="s">
        <v>453</v>
      </c>
      <c r="E7" s="12"/>
    </row>
    <row r="8" spans="1:12" ht="16.5" thickTop="1" x14ac:dyDescent="0.25"/>
    <row r="9" spans="1:12" x14ac:dyDescent="0.25">
      <c r="D9" s="8"/>
    </row>
    <row r="10" spans="1:12" ht="16.5" thickBot="1" x14ac:dyDescent="0.3">
      <c r="A10" s="1" t="s">
        <v>14</v>
      </c>
      <c r="B10" s="1" t="s">
        <v>15</v>
      </c>
      <c r="C10" s="3" t="s">
        <v>16</v>
      </c>
      <c r="D10" s="7" t="s">
        <v>122</v>
      </c>
      <c r="E10" s="3" t="s">
        <v>255</v>
      </c>
      <c r="F10" s="15" t="s">
        <v>126</v>
      </c>
      <c r="G10" s="1" t="s">
        <v>123</v>
      </c>
      <c r="H10" s="33" t="s">
        <v>124</v>
      </c>
      <c r="I10" s="33" t="s">
        <v>125</v>
      </c>
      <c r="J10" s="15" t="s">
        <v>100</v>
      </c>
      <c r="K10" s="43" t="s">
        <v>101</v>
      </c>
      <c r="L10" s="15" t="s">
        <v>102</v>
      </c>
    </row>
    <row r="11" spans="1:12" ht="17.25" thickTop="1" thickBot="1" x14ac:dyDescent="0.3">
      <c r="A11" s="4">
        <v>1</v>
      </c>
      <c r="B11" s="2" t="s">
        <v>72</v>
      </c>
      <c r="C11" s="2" t="s">
        <v>95</v>
      </c>
      <c r="D11" s="2" t="s">
        <v>245</v>
      </c>
      <c r="F11" s="62" t="s">
        <v>454</v>
      </c>
      <c r="G11" s="61" t="s">
        <v>76</v>
      </c>
      <c r="H11" s="36" t="str">
        <f>IFERROR(IF(VLOOKUP($G11, 'Enter DVID'!$A$1:$C$61, 2, FALSE)="", "", VLOOKUP($G11, 'Enter DVID'!$A$1:$C$61, 2, FALSE)), "")</f>
        <v>6</v>
      </c>
      <c r="I11" s="63" t="str">
        <f>IFERROR(IF(VLOOKUP($G11, 'Enter DVID'!$A$1:$C$61, 3, FALSE)="", "", VLOOKUP($G11, 'Enter DVID'!$A$1:$C$61, 3, FALSE)), "")</f>
        <v>U1</v>
      </c>
      <c r="J11" s="62" t="s">
        <v>457</v>
      </c>
      <c r="K11" s="64" t="str">
        <f>IFERROR(IF(VLOOKUP($G11, 'Enter DVID'!$A$1:$D$61, 4, FALSE)="", "", VLOOKUP($G11, 'Enter DVID'!$A$1:$D$61, 4, FALSE)), "")</f>
        <v>SYS_CONTROL_STATE</v>
      </c>
    </row>
    <row r="12" spans="1:12" ht="16.5" thickTop="1" x14ac:dyDescent="0.25">
      <c r="G12" s="21" t="s">
        <v>18</v>
      </c>
      <c r="H12" s="34" t="str">
        <f>IFERROR(IF(VLOOKUP($G12, 'Enter DVID'!$A$1:$C$61, 2, FALSE)="", "", VLOOKUP($G12, 'Enter DVID'!$A$1:$C$61, 2, FALSE)), "")</f>
        <v/>
      </c>
      <c r="I12" s="34" t="str">
        <f>IFERROR(IF(VLOOKUP($G12, 'Enter DVID'!$A$1:$C$61, 3, FALSE)="", "", VLOOKUP($G12, 'Enter DVID'!$A$1:$C$61, 3, FALSE)), "")</f>
        <v/>
      </c>
      <c r="K12" s="34" t="str">
        <f>IFERROR(IF(VLOOKUP($G12, 'Enter DVID'!$A$1:$D$61, 4, FALSE)="", "", VLOOKUP($G12, 'Enter DVID'!$A$1:$D$61, 4, FALSE)), "")</f>
        <v/>
      </c>
    </row>
    <row r="13" spans="1:12" x14ac:dyDescent="0.25">
      <c r="G13" s="21" t="s">
        <v>19</v>
      </c>
      <c r="H13" s="34" t="str">
        <f>IFERROR(IF(VLOOKUP($G13, 'Enter DVID'!$A$1:$C$61, 2, FALSE)="", "", VLOOKUP($G13, 'Enter DVID'!$A$1:$C$61, 2, FALSE)), "")</f>
        <v>3</v>
      </c>
      <c r="I13" s="34" t="str">
        <f>IFERROR(IF(VLOOKUP($G13, 'Enter DVID'!$A$1:$C$61, 3, FALSE)="", "", VLOOKUP($G13, 'Enter DVID'!$A$1:$C$61, 3, FALSE)), "")</f>
        <v>A</v>
      </c>
      <c r="K13" s="34" t="str">
        <f>IFERROR(IF(VLOOKUP($G13, 'Enter DVID'!$A$1:$D$61, 4, FALSE)="", "", VLOOKUP($G13, 'Enter DVID'!$A$1:$D$61, 4, FALSE)), "")</f>
        <v>SYS_CLOCK</v>
      </c>
    </row>
    <row r="15" spans="1:12" ht="16.5" thickBot="1" x14ac:dyDescent="0.3">
      <c r="A15" s="1" t="s">
        <v>14</v>
      </c>
      <c r="B15" s="1" t="s">
        <v>15</v>
      </c>
      <c r="C15" s="7" t="s">
        <v>16</v>
      </c>
      <c r="D15" s="7" t="s">
        <v>122</v>
      </c>
      <c r="E15" s="3" t="s">
        <v>255</v>
      </c>
      <c r="F15" s="15" t="s">
        <v>126</v>
      </c>
      <c r="G15" s="1" t="s">
        <v>123</v>
      </c>
      <c r="H15" s="35" t="s">
        <v>124</v>
      </c>
      <c r="I15" s="35" t="s">
        <v>125</v>
      </c>
      <c r="J15" s="15" t="s">
        <v>100</v>
      </c>
      <c r="K15" s="43" t="s">
        <v>101</v>
      </c>
      <c r="L15" s="15" t="s">
        <v>102</v>
      </c>
    </row>
    <row r="16" spans="1:12" ht="17.25" thickTop="1" thickBot="1" x14ac:dyDescent="0.3">
      <c r="A16" s="4">
        <v>2</v>
      </c>
      <c r="B16" s="2" t="s">
        <v>72</v>
      </c>
      <c r="C16" s="2" t="s">
        <v>96</v>
      </c>
      <c r="D16" s="2" t="s">
        <v>246</v>
      </c>
      <c r="F16" s="62" t="s">
        <v>456</v>
      </c>
      <c r="G16" s="61" t="s">
        <v>76</v>
      </c>
      <c r="H16" s="36" t="str">
        <f>IFERROR(IF(VLOOKUP($G16, 'Enter DVID'!$A$1:$C$61, 2, FALSE)="", "", VLOOKUP($G16, 'Enter DVID'!$A$1:$C$61, 2, FALSE)), "")</f>
        <v>6</v>
      </c>
      <c r="I16" s="63" t="str">
        <f>IFERROR(IF(VLOOKUP($G16, 'Enter DVID'!$A$1:$C$61, 3, FALSE)="", "", VLOOKUP($G16, 'Enter DVID'!$A$1:$C$61, 3, FALSE)), "")</f>
        <v>U1</v>
      </c>
      <c r="J16" s="62" t="s">
        <v>459</v>
      </c>
      <c r="K16" s="64" t="str">
        <f>IFERROR(IF(VLOOKUP($G16, 'Enter DVID'!$A$1:$D$61, 4, FALSE)="", "", VLOOKUP($G16, 'Enter DVID'!$A$1:$D$61, 4, FALSE)), "")</f>
        <v>SYS_CONTROL_STATE</v>
      </c>
    </row>
    <row r="17" spans="1:12" ht="16.5" thickTop="1" x14ac:dyDescent="0.25">
      <c r="G17" s="21" t="s">
        <v>18</v>
      </c>
      <c r="H17" s="34" t="str">
        <f>IFERROR(IF(VLOOKUP($G17, 'Enter DVID'!$A$1:$C$61, 2, FALSE)="", "", VLOOKUP($G17, 'Enter DVID'!$A$1:$C$61, 2, FALSE)), "")</f>
        <v/>
      </c>
      <c r="I17" s="34" t="str">
        <f>IFERROR(IF(VLOOKUP($G17, 'Enter DVID'!$A$1:$C$61, 3, FALSE)="", "", VLOOKUP($G17, 'Enter DVID'!$A$1:$C$61, 3, FALSE)), "")</f>
        <v/>
      </c>
      <c r="K17" s="34" t="str">
        <f>IFERROR(IF(VLOOKUP($G17, 'Enter DVID'!$A$1:$D$61, 4, FALSE)="", "", VLOOKUP($G17, 'Enter DVID'!$A$1:$D$61, 4, FALSE)), "")</f>
        <v/>
      </c>
    </row>
    <row r="18" spans="1:12" x14ac:dyDescent="0.25">
      <c r="G18" s="21" t="s">
        <v>19</v>
      </c>
      <c r="H18" s="34" t="str">
        <f>IFERROR(IF(VLOOKUP($G18, 'Enter DVID'!$A$1:$C$61, 2, FALSE)="", "", VLOOKUP($G18, 'Enter DVID'!$A$1:$C$61, 2, FALSE)), "")</f>
        <v>3</v>
      </c>
      <c r="I18" s="34" t="str">
        <f>IFERROR(IF(VLOOKUP($G18, 'Enter DVID'!$A$1:$C$61, 3, FALSE)="", "", VLOOKUP($G18, 'Enter DVID'!$A$1:$C$61, 3, FALSE)), "")</f>
        <v>A</v>
      </c>
      <c r="K18" s="34" t="str">
        <f>IFERROR(IF(VLOOKUP($G18, 'Enter DVID'!$A$1:$D$61, 4, FALSE)="", "", VLOOKUP($G18, 'Enter DVID'!$A$1:$D$61, 4, FALSE)), "")</f>
        <v>SYS_CLOCK</v>
      </c>
    </row>
    <row r="20" spans="1:12" ht="16.5" thickBot="1" x14ac:dyDescent="0.3">
      <c r="A20" s="1" t="s">
        <v>14</v>
      </c>
      <c r="B20" s="1" t="s">
        <v>15</v>
      </c>
      <c r="C20" s="3" t="s">
        <v>16</v>
      </c>
      <c r="D20" s="7" t="s">
        <v>122</v>
      </c>
      <c r="E20" s="3" t="s">
        <v>255</v>
      </c>
      <c r="F20" s="15" t="s">
        <v>126</v>
      </c>
      <c r="G20" s="1" t="s">
        <v>123</v>
      </c>
      <c r="H20" s="35" t="s">
        <v>124</v>
      </c>
      <c r="I20" s="35" t="s">
        <v>125</v>
      </c>
      <c r="J20" s="15" t="s">
        <v>100</v>
      </c>
      <c r="K20" s="43" t="s">
        <v>101</v>
      </c>
      <c r="L20" s="15" t="s">
        <v>102</v>
      </c>
    </row>
    <row r="21" spans="1:12" ht="17.25" thickTop="1" thickBot="1" x14ac:dyDescent="0.3">
      <c r="A21" s="4">
        <v>3</v>
      </c>
      <c r="B21" s="2" t="s">
        <v>72</v>
      </c>
      <c r="C21" s="2" t="s">
        <v>97</v>
      </c>
      <c r="D21" s="2" t="s">
        <v>247</v>
      </c>
      <c r="F21" s="62" t="s">
        <v>455</v>
      </c>
      <c r="G21" s="61" t="s">
        <v>76</v>
      </c>
      <c r="H21" s="36" t="str">
        <f>IFERROR(IF(VLOOKUP($G21, 'Enter DVID'!$A$1:$C$61, 2, FALSE)="", "", VLOOKUP($G21, 'Enter DVID'!$A$1:$C$61, 2, FALSE)), "")</f>
        <v>6</v>
      </c>
      <c r="I21" s="63" t="str">
        <f>IFERROR(IF(VLOOKUP($G21, 'Enter DVID'!$A$1:$C$61, 3, FALSE)="", "", VLOOKUP($G21, 'Enter DVID'!$A$1:$C$61, 3, FALSE)), "")</f>
        <v>U1</v>
      </c>
      <c r="J21" s="62" t="s">
        <v>458</v>
      </c>
      <c r="K21" s="64" t="str">
        <f>IFERROR(IF(VLOOKUP($G21, 'Enter DVID'!$A$1:$D$61, 4, FALSE)="", "", VLOOKUP($G21, 'Enter DVID'!$A$1:$D$61, 4, FALSE)), "")</f>
        <v>SYS_CONTROL_STATE</v>
      </c>
    </row>
    <row r="22" spans="1:12" ht="16.5" thickTop="1" x14ac:dyDescent="0.25">
      <c r="G22" s="21" t="s">
        <v>18</v>
      </c>
      <c r="H22" s="34" t="str">
        <f>IFERROR(IF(VLOOKUP($G22, 'Enter DVID'!$A$1:$C$61, 2, FALSE)="", "", VLOOKUP($G22, 'Enter DVID'!$A$1:$C$61, 2, FALSE)), "")</f>
        <v/>
      </c>
      <c r="I22" s="34" t="str">
        <f>IFERROR(IF(VLOOKUP($G22, 'Enter DVID'!$A$1:$C$61, 3, FALSE)="", "", VLOOKUP($G22, 'Enter DVID'!$A$1:$C$61, 3, FALSE)), "")</f>
        <v/>
      </c>
      <c r="K22" s="34" t="str">
        <f>IFERROR(IF(VLOOKUP($G22, 'Enter DVID'!$A$1:$D$61, 4, FALSE)="", "", VLOOKUP($G22, 'Enter DVID'!$A$1:$D$61, 4, FALSE)), "")</f>
        <v/>
      </c>
    </row>
    <row r="23" spans="1:12" x14ac:dyDescent="0.25">
      <c r="G23" s="21" t="s">
        <v>19</v>
      </c>
      <c r="H23" s="34" t="str">
        <f>IFERROR(IF(VLOOKUP($G23, 'Enter DVID'!$A$1:$C$61, 2, FALSE)="", "", VLOOKUP($G23, 'Enter DVID'!$A$1:$C$61, 2, FALSE)), "")</f>
        <v>3</v>
      </c>
      <c r="I23" s="34" t="str">
        <f>IFERROR(IF(VLOOKUP($G23, 'Enter DVID'!$A$1:$C$61, 3, FALSE)="", "", VLOOKUP($G23, 'Enter DVID'!$A$1:$C$61, 3, FALSE)), "")</f>
        <v>A</v>
      </c>
      <c r="K23" s="34" t="str">
        <f>IFERROR(IF(VLOOKUP($G23, 'Enter DVID'!$A$1:$D$61, 4, FALSE)="", "", VLOOKUP($G23, 'Enter DVID'!$A$1:$D$61, 4, FALSE)), "")</f>
        <v>SYS_CLOCK</v>
      </c>
    </row>
    <row r="25" spans="1:12" ht="16.5" thickBot="1" x14ac:dyDescent="0.3">
      <c r="A25" s="1" t="s">
        <v>14</v>
      </c>
      <c r="B25" s="1" t="s">
        <v>15</v>
      </c>
      <c r="C25" s="3" t="s">
        <v>16</v>
      </c>
      <c r="D25" s="7" t="s">
        <v>122</v>
      </c>
      <c r="E25" s="3" t="s">
        <v>255</v>
      </c>
      <c r="F25" s="15" t="s">
        <v>126</v>
      </c>
      <c r="G25" s="1" t="s">
        <v>123</v>
      </c>
      <c r="H25" s="35" t="s">
        <v>124</v>
      </c>
      <c r="I25" s="35" t="s">
        <v>125</v>
      </c>
      <c r="J25" s="15" t="s">
        <v>100</v>
      </c>
      <c r="K25" s="43" t="s">
        <v>101</v>
      </c>
      <c r="L25" s="15" t="s">
        <v>102</v>
      </c>
    </row>
    <row r="26" spans="1:12" ht="17.25" thickTop="1" thickBot="1" x14ac:dyDescent="0.3">
      <c r="A26" s="4">
        <v>4</v>
      </c>
      <c r="B26" s="2" t="s">
        <v>72</v>
      </c>
      <c r="C26" s="2" t="s">
        <v>71</v>
      </c>
      <c r="D26" s="2" t="s">
        <v>103</v>
      </c>
      <c r="F26" s="62" t="s">
        <v>494</v>
      </c>
      <c r="G26" s="61" t="s">
        <v>279</v>
      </c>
      <c r="H26" s="36" t="str">
        <f>IFERROR(IF(VLOOKUP($G26, 'Enter DVID'!$A$1:$C$61, 2, FALSE)="", "", VLOOKUP($G26, 'Enter DVID'!$A$1:$C$61, 2, FALSE)), "")</f>
        <v>47</v>
      </c>
      <c r="I26" s="63" t="str">
        <f>IFERROR(IF(VLOOKUP($G26, 'Enter DVID'!$A$1:$C$61, 3, FALSE)="", "", VLOOKUP($G26, 'Enter DVID'!$A$1:$C$61, 3, FALSE)), "")</f>
        <v>U4</v>
      </c>
      <c r="J26" s="62" t="s">
        <v>495</v>
      </c>
      <c r="K26" s="64" t="str">
        <f>IFERROR(IF(VLOOKUP($G26, 'Enter DVID'!$A$1:$D$61, 4, FALSE)="", "", VLOOKUP($G26, 'Enter DVID'!$A$1:$D$61, 4, FALSE)), "")</f>
        <v>SYS_ECID_CHANGED</v>
      </c>
    </row>
    <row r="27" spans="1:12" ht="16.5" thickTop="1" x14ac:dyDescent="0.25"/>
    <row r="28" spans="1:12" ht="16.5" thickBot="1" x14ac:dyDescent="0.3">
      <c r="A28" s="1" t="s">
        <v>14</v>
      </c>
      <c r="B28" s="1" t="s">
        <v>15</v>
      </c>
      <c r="C28" s="3" t="s">
        <v>16</v>
      </c>
      <c r="D28" s="7" t="s">
        <v>122</v>
      </c>
      <c r="E28" s="3" t="s">
        <v>255</v>
      </c>
      <c r="F28" s="15" t="s">
        <v>126</v>
      </c>
      <c r="G28" s="1" t="s">
        <v>123</v>
      </c>
      <c r="H28" s="35" t="s">
        <v>124</v>
      </c>
      <c r="I28" s="35" t="s">
        <v>125</v>
      </c>
      <c r="J28" s="15" t="s">
        <v>100</v>
      </c>
      <c r="K28" s="43" t="s">
        <v>101</v>
      </c>
      <c r="L28" s="15" t="s">
        <v>102</v>
      </c>
    </row>
    <row r="29" spans="1:12" ht="17.25" thickTop="1" thickBot="1" x14ac:dyDescent="0.3">
      <c r="A29" s="4">
        <v>5</v>
      </c>
      <c r="B29" s="2" t="s">
        <v>72</v>
      </c>
      <c r="C29" s="2" t="s">
        <v>132</v>
      </c>
      <c r="D29" s="2" t="s">
        <v>248</v>
      </c>
      <c r="F29" s="62" t="s">
        <v>496</v>
      </c>
      <c r="G29" s="61" t="s">
        <v>262</v>
      </c>
      <c r="H29" s="36" t="str">
        <f>IFERROR(IF(VLOOKUP($G29, 'Enter DVID'!$A$1:$C$61, 2, FALSE)="", "", VLOOKUP($G29, 'Enter DVID'!$A$1:$C$61, 2, FALSE)), "")</f>
        <v>41</v>
      </c>
      <c r="I29" s="63" t="str">
        <f>IFERROR(IF(VLOOKUP($G29, 'Enter DVID'!$A$1:$C$61, 3, FALSE)="", "", VLOOKUP($G29, 'Enter DVID'!$A$1:$C$61, 3, FALSE)), "")</f>
        <v>A</v>
      </c>
      <c r="J29" s="62" t="s">
        <v>497</v>
      </c>
      <c r="K29" s="64" t="str">
        <f>IFERROR(IF(VLOOKUP($G29, 'Enter DVID'!$A$1:$D$61, 4, FALSE)="", "", VLOOKUP($G29, 'Enter DVID'!$A$1:$D$61, 4, FALSE)), "")</f>
        <v>SYS_PP_CHANGE_NAME</v>
      </c>
    </row>
    <row r="30" spans="1:12" ht="16.5" thickTop="1" x14ac:dyDescent="0.25">
      <c r="G30" s="19" t="s">
        <v>260</v>
      </c>
      <c r="H30" s="36" t="str">
        <f>IFERROR(IF(VLOOKUP($G30, 'Enter DVID'!$A$1:$C$61, 2, FALSE)="", "", VLOOKUP($G30, 'Enter DVID'!$A$1:$C$61, 2, FALSE)), "")</f>
        <v>42</v>
      </c>
      <c r="I30" s="36" t="str">
        <f>IFERROR(IF(VLOOKUP($G30, 'Enter DVID'!$A$1:$C$61, 3, FALSE)="", "", VLOOKUP($G30, 'Enter DVID'!$A$1:$C$61, 3, FALSE)), "")</f>
        <v>U1</v>
      </c>
      <c r="K30" s="36" t="str">
        <f>IFERROR(IF(VLOOKUP($G30, 'Enter DVID'!$A$1:$D$61, 4, FALSE)="", "", VLOOKUP($G30, 'Enter DVID'!$A$1:$D$61, 4, FALSE)), "")</f>
        <v>SYS_PP_CHANGE_STATUS</v>
      </c>
    </row>
    <row r="31" spans="1:12" x14ac:dyDescent="0.25">
      <c r="G31" s="21" t="s">
        <v>261</v>
      </c>
      <c r="H31" s="34" t="str">
        <f>IFERROR(IF(VLOOKUP($G31, 'Enter DVID'!$A$1:$C$61, 2, FALSE)="", "", VLOOKUP($G31, 'Enter DVID'!$A$1:$C$61, 2, FALSE)), "")</f>
        <v>4142</v>
      </c>
      <c r="I31" s="34" t="str">
        <f>IFERROR(IF(VLOOKUP($G31, 'Enter DVID'!$A$1:$C$61, 3, FALSE)="", "", VLOOKUP($G31, 'Enter DVID'!$A$1:$C$61, 3, FALSE)), "")</f>
        <v>A</v>
      </c>
      <c r="K31" s="34" t="str">
        <f>IFERROR(IF(VLOOKUP($G31, 'Enter DVID'!$A$1:$D$61, 4, FALSE)="", "", VLOOKUP($G31, 'Enter DVID'!$A$1:$D$61, 4, FALSE)), "")</f>
        <v>SYS_PP_CHANGE_STATUS_TEXT</v>
      </c>
    </row>
    <row r="33" spans="1:12" ht="16.5" thickBot="1" x14ac:dyDescent="0.3">
      <c r="A33" s="1" t="s">
        <v>14</v>
      </c>
      <c r="B33" s="1" t="s">
        <v>15</v>
      </c>
      <c r="C33" s="3" t="s">
        <v>16</v>
      </c>
      <c r="D33" s="7" t="s">
        <v>122</v>
      </c>
      <c r="E33" s="3" t="s">
        <v>255</v>
      </c>
      <c r="F33" s="15" t="s">
        <v>126</v>
      </c>
      <c r="G33" s="1" t="s">
        <v>123</v>
      </c>
      <c r="H33" s="35" t="s">
        <v>124</v>
      </c>
      <c r="I33" s="35" t="s">
        <v>125</v>
      </c>
      <c r="J33" s="15" t="s">
        <v>100</v>
      </c>
      <c r="K33" s="43" t="s">
        <v>101</v>
      </c>
      <c r="L33" s="15" t="s">
        <v>102</v>
      </c>
    </row>
    <row r="34" spans="1:12" ht="17.25" thickTop="1" thickBot="1" x14ac:dyDescent="0.3">
      <c r="A34" s="4">
        <v>6</v>
      </c>
      <c r="B34" s="2" t="s">
        <v>17</v>
      </c>
      <c r="C34" s="2" t="s">
        <v>73</v>
      </c>
      <c r="D34" s="2" t="s">
        <v>98</v>
      </c>
      <c r="F34" s="62" t="s">
        <v>498</v>
      </c>
      <c r="G34" s="61" t="s">
        <v>20</v>
      </c>
      <c r="H34" s="36" t="str">
        <f>IFERROR(IF(VLOOKUP($G34, 'Enter DVID'!$A$1:$C$61, 2, FALSE)="", "", VLOOKUP($G34, 'Enter DVID'!$A$1:$C$61, 2, FALSE)), "")</f>
        <v>2001</v>
      </c>
      <c r="I34" s="63" t="str">
        <f>IFERROR(IF(VLOOKUP($G34, 'Enter DVID'!$A$1:$C$61, 3, FALSE)="", "", VLOOKUP($G34, 'Enter DVID'!$A$1:$C$61, 3, FALSE)), "")</f>
        <v>U1</v>
      </c>
      <c r="J34" s="62" t="s">
        <v>499</v>
      </c>
      <c r="K34" s="64" t="str">
        <f>IFERROR(IF(VLOOKUP($G34, 'Enter DVID'!$A$1:$D$61, 4, FALSE)="", "", VLOOKUP($G34, 'Enter DVID'!$A$1:$D$61, 4, FALSE)), "")</f>
        <v>PORTID</v>
      </c>
    </row>
    <row r="35" spans="1:12" ht="16.5" thickTop="1" x14ac:dyDescent="0.25">
      <c r="G35" s="19" t="s">
        <v>241</v>
      </c>
      <c r="H35" s="36" t="str">
        <f>IFERROR(IF(VLOOKUP($G35, 'Enter DVID'!$A$1:$C$61, 2, FALSE)="", "", VLOOKUP($G35, 'Enter DVID'!$A$1:$C$61, 2, FALSE)), "")</f>
        <v>2005</v>
      </c>
      <c r="I35" s="36" t="str">
        <f>IFERROR(IF(VLOOKUP($G35, 'Enter DVID'!$A$1:$C$61, 3, FALSE)="", "", VLOOKUP($G35, 'Enter DVID'!$A$1:$C$61, 3, FALSE)), "")</f>
        <v>U1</v>
      </c>
      <c r="K35" s="36" t="str">
        <f>IFERROR(IF(VLOOKUP($G35, 'Enter DVID'!$A$1:$D$61, 4, FALSE)="", "", VLOOKUP($G35, 'Enter DVID'!$A$1:$D$61, 4, FALSE)), "")</f>
        <v>PORTTRANSFERSTATE</v>
      </c>
    </row>
    <row r="36" spans="1:12" x14ac:dyDescent="0.25">
      <c r="G36" s="21" t="s">
        <v>18</v>
      </c>
      <c r="H36" s="34" t="str">
        <f>IFERROR(IF(VLOOKUP($G36, 'Enter DVID'!$A$1:$C$61, 2, FALSE)="", "", VLOOKUP($G36, 'Enter DVID'!$A$1:$C$61, 2, FALSE)), "")</f>
        <v/>
      </c>
      <c r="I36" s="34" t="str">
        <f>IFERROR(IF(VLOOKUP($G36, 'Enter DVID'!$A$1:$C$61, 3, FALSE)="", "", VLOOKUP($G36, 'Enter DVID'!$A$1:$C$61, 3, FALSE)), "")</f>
        <v/>
      </c>
      <c r="K36" s="34" t="str">
        <f>IFERROR(IF(VLOOKUP($G36, 'Enter DVID'!$A$1:$D$61, 4, FALSE)="", "", VLOOKUP($G36, 'Enter DVID'!$A$1:$D$61, 4, FALSE)), "")</f>
        <v/>
      </c>
    </row>
    <row r="37" spans="1:12" x14ac:dyDescent="0.25">
      <c r="G37" s="21" t="s">
        <v>19</v>
      </c>
      <c r="H37" s="34" t="str">
        <f>IFERROR(IF(VLOOKUP($G37, 'Enter DVID'!$A$1:$C$61, 2, FALSE)="", "", VLOOKUP($G37, 'Enter DVID'!$A$1:$C$61, 2, FALSE)), "")</f>
        <v>3</v>
      </c>
      <c r="I37" s="34" t="str">
        <f>IFERROR(IF(VLOOKUP($G37, 'Enter DVID'!$A$1:$C$61, 3, FALSE)="", "", VLOOKUP($G37, 'Enter DVID'!$A$1:$C$61, 3, FALSE)), "")</f>
        <v>A</v>
      </c>
      <c r="K37" s="34" t="str">
        <f>IFERROR(IF(VLOOKUP($G37, 'Enter DVID'!$A$1:$D$61, 4, FALSE)="", "", VLOOKUP($G37, 'Enter DVID'!$A$1:$D$61, 4, FALSE)), "")</f>
        <v>SYS_CLOCK</v>
      </c>
    </row>
    <row r="38" spans="1:12" x14ac:dyDescent="0.25">
      <c r="G38" s="21" t="s">
        <v>6</v>
      </c>
      <c r="H38" s="34" t="str">
        <f>IFERROR(IF(VLOOKUP($G38, 'Enter DVID'!$A$1:$C$61, 2, FALSE)="", "", VLOOKUP($G38, 'Enter DVID'!$A$1:$C$61, 2, FALSE)), "")</f>
        <v>463</v>
      </c>
      <c r="I38" s="34" t="str">
        <f>IFERROR(IF(VLOOKUP($G38, 'Enter DVID'!$A$1:$C$61, 3, FALSE)="", "", VLOOKUP($G38, 'Enter DVID'!$A$1:$C$61, 3, FALSE)), "")</f>
        <v>List</v>
      </c>
      <c r="K38" s="34" t="str">
        <f>IFERROR(IF(VLOOKUP($G38, 'Enter DVID'!$A$1:$D$61, 4, FALSE)="", "", VLOOKUP($G38, 'Enter DVID'!$A$1:$D$61, 4, FALSE)), "")</f>
        <v>CMS_PORTSTATEINFO</v>
      </c>
    </row>
    <row r="40" spans="1:12" ht="16.5" thickBot="1" x14ac:dyDescent="0.3">
      <c r="A40" s="1" t="s">
        <v>14</v>
      </c>
      <c r="B40" s="1" t="s">
        <v>15</v>
      </c>
      <c r="C40" s="3" t="s">
        <v>16</v>
      </c>
      <c r="D40" s="7" t="s">
        <v>122</v>
      </c>
      <c r="E40" s="3" t="s">
        <v>255</v>
      </c>
      <c r="F40" s="15" t="s">
        <v>126</v>
      </c>
      <c r="G40" s="1" t="s">
        <v>123</v>
      </c>
      <c r="H40" s="35" t="s">
        <v>124</v>
      </c>
      <c r="I40" s="35" t="s">
        <v>125</v>
      </c>
      <c r="J40" s="15" t="s">
        <v>100</v>
      </c>
      <c r="K40" s="43" t="s">
        <v>101</v>
      </c>
      <c r="L40" s="15" t="s">
        <v>102</v>
      </c>
    </row>
    <row r="41" spans="1:12" ht="17.25" thickTop="1" thickBot="1" x14ac:dyDescent="0.3">
      <c r="A41" s="4">
        <v>7</v>
      </c>
      <c r="B41" s="2" t="s">
        <v>17</v>
      </c>
      <c r="C41" s="2" t="s">
        <v>74</v>
      </c>
      <c r="D41" s="2" t="s">
        <v>99</v>
      </c>
      <c r="F41" s="62" t="s">
        <v>500</v>
      </c>
      <c r="G41" s="61" t="s">
        <v>20</v>
      </c>
      <c r="H41" s="36" t="str">
        <f>IFERROR(IF(VLOOKUP($G41, 'Enter DVID'!$A$1:$C$61, 2, FALSE)="", "", VLOOKUP($G41, 'Enter DVID'!$A$1:$C$61, 2, FALSE)), "")</f>
        <v>2001</v>
      </c>
      <c r="I41" s="63" t="str">
        <f>IFERROR(IF(VLOOKUP($G41, 'Enter DVID'!$A$1:$C$61, 3, FALSE)="", "", VLOOKUP($G41, 'Enter DVID'!$A$1:$C$61, 3, FALSE)), "")</f>
        <v>U1</v>
      </c>
      <c r="J41" s="62" t="s">
        <v>501</v>
      </c>
      <c r="K41" s="64" t="str">
        <f>IFERROR(IF(VLOOKUP($G41, 'Enter DVID'!$A$1:$D$61, 4, FALSE)="", "", VLOOKUP($G41, 'Enter DVID'!$A$1:$D$61, 4, FALSE)), "")</f>
        <v>PORTID</v>
      </c>
    </row>
    <row r="42" spans="1:12" ht="16.5" thickTop="1" x14ac:dyDescent="0.25">
      <c r="G42" s="19" t="s">
        <v>241</v>
      </c>
      <c r="H42" s="36" t="str">
        <f>IFERROR(IF(VLOOKUP($G42, 'Enter DVID'!$A$1:$C$61, 2, FALSE)="", "", VLOOKUP($G42, 'Enter DVID'!$A$1:$C$61, 2, FALSE)), "")</f>
        <v>2005</v>
      </c>
      <c r="I42" s="36" t="str">
        <f>IFERROR(IF(VLOOKUP($G42, 'Enter DVID'!$A$1:$C$61, 3, FALSE)="", "", VLOOKUP($G42, 'Enter DVID'!$A$1:$C$61, 3, FALSE)), "")</f>
        <v>U1</v>
      </c>
      <c r="K42" s="36" t="str">
        <f>IFERROR(IF(VLOOKUP($G42, 'Enter DVID'!$A$1:$D$61, 4, FALSE)="", "", VLOOKUP($G42, 'Enter DVID'!$A$1:$D$61, 4, FALSE)), "")</f>
        <v>PORTTRANSFERSTATE</v>
      </c>
    </row>
    <row r="43" spans="1:12" x14ac:dyDescent="0.25">
      <c r="G43" s="21" t="s">
        <v>18</v>
      </c>
      <c r="H43" s="34" t="str">
        <f>IFERROR(IF(VLOOKUP($G43, 'Enter DVID'!$A$1:$C$61, 2, FALSE)="", "", VLOOKUP($G43, 'Enter DVID'!$A$1:$C$61, 2, FALSE)), "")</f>
        <v/>
      </c>
      <c r="I43" s="34" t="str">
        <f>IFERROR(IF(VLOOKUP($G43, 'Enter DVID'!$A$1:$C$61, 3, FALSE)="", "", VLOOKUP($G43, 'Enter DVID'!$A$1:$C$61, 3, FALSE)), "")</f>
        <v/>
      </c>
      <c r="K43" s="34" t="str">
        <f>IFERROR(IF(VLOOKUP($G43, 'Enter DVID'!$A$1:$D$61, 4, FALSE)="", "", VLOOKUP($G43, 'Enter DVID'!$A$1:$D$61, 4, FALSE)), "")</f>
        <v/>
      </c>
    </row>
    <row r="44" spans="1:12" x14ac:dyDescent="0.25">
      <c r="G44" s="21" t="s">
        <v>19</v>
      </c>
      <c r="H44" s="34" t="str">
        <f>IFERROR(IF(VLOOKUP($G44, 'Enter DVID'!$A$1:$C$61, 2, FALSE)="", "", VLOOKUP($G44, 'Enter DVID'!$A$1:$C$61, 2, FALSE)), "")</f>
        <v>3</v>
      </c>
      <c r="I44" s="34" t="str">
        <f>IFERROR(IF(VLOOKUP($G44, 'Enter DVID'!$A$1:$C$61, 3, FALSE)="", "", VLOOKUP($G44, 'Enter DVID'!$A$1:$C$61, 3, FALSE)), "")</f>
        <v>A</v>
      </c>
      <c r="K44" s="34" t="str">
        <f>IFERROR(IF(VLOOKUP($G44, 'Enter DVID'!$A$1:$D$61, 4, FALSE)="", "", VLOOKUP($G44, 'Enter DVID'!$A$1:$D$61, 4, FALSE)), "")</f>
        <v>SYS_CLOCK</v>
      </c>
    </row>
    <row r="45" spans="1:12" x14ac:dyDescent="0.25">
      <c r="G45" s="21" t="s">
        <v>6</v>
      </c>
      <c r="H45" s="34" t="str">
        <f>IFERROR(IF(VLOOKUP($G45, 'Enter DVID'!$A$1:$C$61, 2, FALSE)="", "", VLOOKUP($G45, 'Enter DVID'!$A$1:$C$61, 2, FALSE)), "")</f>
        <v>463</v>
      </c>
      <c r="I45" s="34" t="str">
        <f>IFERROR(IF(VLOOKUP($G45, 'Enter DVID'!$A$1:$C$61, 3, FALSE)="", "", VLOOKUP($G45, 'Enter DVID'!$A$1:$C$61, 3, FALSE)), "")</f>
        <v>List</v>
      </c>
      <c r="K45" s="34" t="str">
        <f>IFERROR(IF(VLOOKUP($G45, 'Enter DVID'!$A$1:$D$61, 4, FALSE)="", "", VLOOKUP($G45, 'Enter DVID'!$A$1:$D$61, 4, FALSE)), "")</f>
        <v>CMS_PORTSTATEINFO</v>
      </c>
    </row>
    <row r="47" spans="1:12" ht="16.5" thickBot="1" x14ac:dyDescent="0.3">
      <c r="A47" s="1" t="s">
        <v>14</v>
      </c>
      <c r="B47" s="1" t="s">
        <v>15</v>
      </c>
      <c r="C47" s="3" t="s">
        <v>16</v>
      </c>
      <c r="D47" s="7" t="s">
        <v>122</v>
      </c>
      <c r="E47" s="3" t="s">
        <v>255</v>
      </c>
      <c r="F47" s="15" t="s">
        <v>126</v>
      </c>
      <c r="G47" s="1" t="s">
        <v>123</v>
      </c>
      <c r="H47" s="35" t="s">
        <v>124</v>
      </c>
      <c r="I47" s="35" t="s">
        <v>125</v>
      </c>
      <c r="J47" s="15" t="s">
        <v>100</v>
      </c>
      <c r="K47" s="43" t="s">
        <v>101</v>
      </c>
      <c r="L47" s="15" t="s">
        <v>102</v>
      </c>
    </row>
    <row r="48" spans="1:12" ht="17.25" thickTop="1" thickBot="1" x14ac:dyDescent="0.3">
      <c r="A48" s="4">
        <v>8</v>
      </c>
      <c r="B48" s="2" t="s">
        <v>17</v>
      </c>
      <c r="C48" s="2" t="s">
        <v>75</v>
      </c>
      <c r="D48" s="2" t="s">
        <v>94</v>
      </c>
      <c r="F48" s="62" t="s">
        <v>503</v>
      </c>
      <c r="G48" s="61" t="s">
        <v>20</v>
      </c>
      <c r="H48" s="36" t="str">
        <f>IFERROR(IF(VLOOKUP($G48, 'Enter DVID'!$A$1:$C$61, 2, FALSE)="", "", VLOOKUP($G48, 'Enter DVID'!$A$1:$C$61, 2, FALSE)), "")</f>
        <v>2001</v>
      </c>
      <c r="I48" s="63" t="str">
        <f>IFERROR(IF(VLOOKUP($G48, 'Enter DVID'!$A$1:$C$61, 3, FALSE)="", "", VLOOKUP($G48, 'Enter DVID'!$A$1:$C$61, 3, FALSE)), "")</f>
        <v>U1</v>
      </c>
      <c r="J48" s="62" t="s">
        <v>502</v>
      </c>
      <c r="K48" s="64" t="str">
        <f>IFERROR(IF(VLOOKUP($G48, 'Enter DVID'!$A$1:$D$61, 4, FALSE)="", "", VLOOKUP($G48, 'Enter DVID'!$A$1:$D$61, 4, FALSE)), "")</f>
        <v>PORTID</v>
      </c>
    </row>
    <row r="49" spans="1:12" ht="16.5" thickTop="1" x14ac:dyDescent="0.25">
      <c r="G49" s="19" t="s">
        <v>241</v>
      </c>
      <c r="H49" s="36" t="str">
        <f>IFERROR(IF(VLOOKUP($G49, 'Enter DVID'!$A$1:$C$61, 2, FALSE)="", "", VLOOKUP($G49, 'Enter DVID'!$A$1:$C$61, 2, FALSE)), "")</f>
        <v>2005</v>
      </c>
      <c r="I49" s="36" t="str">
        <f>IFERROR(IF(VLOOKUP($G49, 'Enter DVID'!$A$1:$C$61, 3, FALSE)="", "", VLOOKUP($G49, 'Enter DVID'!$A$1:$C$61, 3, FALSE)), "")</f>
        <v>U1</v>
      </c>
      <c r="K49" s="36" t="str">
        <f>IFERROR(IF(VLOOKUP($G49, 'Enter DVID'!$A$1:$D$61, 4, FALSE)="", "", VLOOKUP($G49, 'Enter DVID'!$A$1:$D$61, 4, FALSE)), "")</f>
        <v>PORTTRANSFERSTATE</v>
      </c>
    </row>
    <row r="50" spans="1:12" x14ac:dyDescent="0.25">
      <c r="G50" s="21" t="s">
        <v>18</v>
      </c>
      <c r="H50" s="34" t="str">
        <f>IFERROR(IF(VLOOKUP($G50, 'Enter DVID'!$A$1:$C$61, 2, FALSE)="", "", VLOOKUP($G50, 'Enter DVID'!$A$1:$C$61, 2, FALSE)), "")</f>
        <v/>
      </c>
      <c r="I50" s="34" t="str">
        <f>IFERROR(IF(VLOOKUP($G50, 'Enter DVID'!$A$1:$C$61, 3, FALSE)="", "", VLOOKUP($G50, 'Enter DVID'!$A$1:$C$61, 3, FALSE)), "")</f>
        <v/>
      </c>
      <c r="K50" s="34" t="str">
        <f>IFERROR(IF(VLOOKUP($G50, 'Enter DVID'!$A$1:$D$61, 4, FALSE)="", "", VLOOKUP($G50, 'Enter DVID'!$A$1:$D$61, 4, FALSE)), "")</f>
        <v/>
      </c>
    </row>
    <row r="51" spans="1:12" x14ac:dyDescent="0.25">
      <c r="G51" s="21" t="s">
        <v>19</v>
      </c>
      <c r="H51" s="34" t="str">
        <f>IFERROR(IF(VLOOKUP($G51, 'Enter DVID'!$A$1:$C$61, 2, FALSE)="", "", VLOOKUP($G51, 'Enter DVID'!$A$1:$C$61, 2, FALSE)), "")</f>
        <v>3</v>
      </c>
      <c r="I51" s="34" t="str">
        <f>IFERROR(IF(VLOOKUP($G51, 'Enter DVID'!$A$1:$C$61, 3, FALSE)="", "", VLOOKUP($G51, 'Enter DVID'!$A$1:$C$61, 3, FALSE)), "")</f>
        <v>A</v>
      </c>
      <c r="K51" s="34" t="str">
        <f>IFERROR(IF(VLOOKUP($G51, 'Enter DVID'!$A$1:$D$61, 4, FALSE)="", "", VLOOKUP($G51, 'Enter DVID'!$A$1:$D$61, 4, FALSE)), "")</f>
        <v>SYS_CLOCK</v>
      </c>
    </row>
    <row r="52" spans="1:12" x14ac:dyDescent="0.25">
      <c r="G52" s="21" t="s">
        <v>6</v>
      </c>
      <c r="H52" s="34" t="str">
        <f>IFERROR(IF(VLOOKUP($G52, 'Enter DVID'!$A$1:$C$61, 2, FALSE)="", "", VLOOKUP($G52, 'Enter DVID'!$A$1:$C$61, 2, FALSE)), "")</f>
        <v>463</v>
      </c>
      <c r="I52" s="34" t="str">
        <f>IFERROR(IF(VLOOKUP($G52, 'Enter DVID'!$A$1:$C$61, 3, FALSE)="", "", VLOOKUP($G52, 'Enter DVID'!$A$1:$C$61, 3, FALSE)), "")</f>
        <v>List</v>
      </c>
      <c r="K52" s="34" t="str">
        <f>IFERROR(IF(VLOOKUP($G52, 'Enter DVID'!$A$1:$D$61, 4, FALSE)="", "", VLOOKUP($G52, 'Enter DVID'!$A$1:$D$61, 4, FALSE)), "")</f>
        <v>CMS_PORTSTATEINFO</v>
      </c>
    </row>
    <row r="54" spans="1:12" ht="16.5" thickBot="1" x14ac:dyDescent="0.3">
      <c r="A54" s="1" t="s">
        <v>14</v>
      </c>
      <c r="B54" s="1" t="s">
        <v>15</v>
      </c>
      <c r="C54" s="3" t="s">
        <v>16</v>
      </c>
      <c r="D54" s="7" t="s">
        <v>122</v>
      </c>
      <c r="E54" s="3" t="s">
        <v>255</v>
      </c>
      <c r="F54" s="15" t="s">
        <v>126</v>
      </c>
      <c r="G54" s="1" t="s">
        <v>123</v>
      </c>
      <c r="H54" s="35" t="s">
        <v>124</v>
      </c>
      <c r="I54" s="35" t="s">
        <v>125</v>
      </c>
      <c r="J54" s="15" t="s">
        <v>100</v>
      </c>
      <c r="K54" s="43" t="s">
        <v>101</v>
      </c>
      <c r="L54" s="15" t="s">
        <v>102</v>
      </c>
    </row>
    <row r="55" spans="1:12" ht="17.25" thickTop="1" thickBot="1" x14ac:dyDescent="0.3">
      <c r="A55" s="4">
        <v>9</v>
      </c>
      <c r="B55" s="2" t="s">
        <v>17</v>
      </c>
      <c r="C55" s="2" t="s">
        <v>59</v>
      </c>
      <c r="D55" s="2" t="s">
        <v>104</v>
      </c>
      <c r="E55" s="2" t="s">
        <v>22</v>
      </c>
      <c r="F55" s="62" t="s">
        <v>504</v>
      </c>
      <c r="G55" s="61" t="s">
        <v>20</v>
      </c>
      <c r="H55" s="36" t="str">
        <f>IFERROR(IF(VLOOKUP($G55, 'Enter DVID'!$A$1:$C$61, 2, FALSE)="", "", VLOOKUP($G55, 'Enter DVID'!$A$1:$C$61, 2, FALSE)), "")</f>
        <v>2001</v>
      </c>
      <c r="I55" s="63" t="str">
        <f>IFERROR(IF(VLOOKUP($G55, 'Enter DVID'!$A$1:$C$61, 3, FALSE)="", "", VLOOKUP($G55, 'Enter DVID'!$A$1:$C$61, 3, FALSE)), "")</f>
        <v>U1</v>
      </c>
      <c r="J55" s="62" t="s">
        <v>507</v>
      </c>
      <c r="K55" s="64" t="str">
        <f>IFERROR(IF(VLOOKUP($G55, 'Enter DVID'!$A$1:$D$61, 4, FALSE)="", "", VLOOKUP($G55, 'Enter DVID'!$A$1:$D$61, 4, FALSE)), "")</f>
        <v>PORTID</v>
      </c>
    </row>
    <row r="56" spans="1:12" ht="16.5" thickTop="1" x14ac:dyDescent="0.25">
      <c r="A56" s="4"/>
      <c r="C56" s="2" t="s">
        <v>77</v>
      </c>
      <c r="G56" s="19" t="s">
        <v>241</v>
      </c>
      <c r="H56" s="36" t="str">
        <f>IFERROR(IF(VLOOKUP($G56, 'Enter DVID'!$A$1:$C$61, 2, FALSE)="", "", VLOOKUP($G56, 'Enter DVID'!$A$1:$C$61, 2, FALSE)), "")</f>
        <v>2005</v>
      </c>
      <c r="I56" s="36" t="str">
        <f>IFERROR(IF(VLOOKUP($G56, 'Enter DVID'!$A$1:$C$61, 3, FALSE)="", "", VLOOKUP($G56, 'Enter DVID'!$A$1:$C$61, 3, FALSE)), "")</f>
        <v>U1</v>
      </c>
      <c r="K56" s="36" t="str">
        <f>IFERROR(IF(VLOOKUP($G56, 'Enter DVID'!$A$1:$D$61, 4, FALSE)="", "", VLOOKUP($G56, 'Enter DVID'!$A$1:$D$61, 4, FALSE)), "")</f>
        <v>PORTTRANSFERSTATE</v>
      </c>
    </row>
    <row r="57" spans="1:12" x14ac:dyDescent="0.25">
      <c r="A57" s="4"/>
      <c r="G57" s="21" t="s">
        <v>18</v>
      </c>
      <c r="H57" s="34" t="str">
        <f>IFERROR(IF(VLOOKUP($G57, 'Enter DVID'!$A$1:$C$61, 2, FALSE)="", "", VLOOKUP($G57, 'Enter DVID'!$A$1:$C$61, 2, FALSE)), "")</f>
        <v/>
      </c>
      <c r="I57" s="34" t="str">
        <f>IFERROR(IF(VLOOKUP($G57, 'Enter DVID'!$A$1:$C$61, 3, FALSE)="", "", VLOOKUP($G57, 'Enter DVID'!$A$1:$C$61, 3, FALSE)), "")</f>
        <v/>
      </c>
      <c r="K57" s="34" t="str">
        <f>IFERROR(IF(VLOOKUP($G57, 'Enter DVID'!$A$1:$D$61, 4, FALSE)="", "", VLOOKUP($G57, 'Enter DVID'!$A$1:$D$61, 4, FALSE)), "")</f>
        <v/>
      </c>
    </row>
    <row r="58" spans="1:12" x14ac:dyDescent="0.25">
      <c r="A58" s="4"/>
      <c r="G58" s="21" t="s">
        <v>19</v>
      </c>
      <c r="H58" s="34" t="str">
        <f>IFERROR(IF(VLOOKUP($G58, 'Enter DVID'!$A$1:$C$61, 2, FALSE)="", "", VLOOKUP($G58, 'Enter DVID'!$A$1:$C$61, 2, FALSE)), "")</f>
        <v>3</v>
      </c>
      <c r="I58" s="34" t="str">
        <f>IFERROR(IF(VLOOKUP($G58, 'Enter DVID'!$A$1:$C$61, 3, FALSE)="", "", VLOOKUP($G58, 'Enter DVID'!$A$1:$C$61, 3, FALSE)), "")</f>
        <v>A</v>
      </c>
      <c r="K58" s="34" t="str">
        <f>IFERROR(IF(VLOOKUP($G58, 'Enter DVID'!$A$1:$D$61, 4, FALSE)="", "", VLOOKUP($G58, 'Enter DVID'!$A$1:$D$61, 4, FALSE)), "")</f>
        <v>SYS_CLOCK</v>
      </c>
    </row>
    <row r="59" spans="1:12" x14ac:dyDescent="0.25">
      <c r="A59" s="4"/>
      <c r="G59" s="21" t="s">
        <v>6</v>
      </c>
      <c r="H59" s="34" t="str">
        <f>IFERROR(IF(VLOOKUP($G59, 'Enter DVID'!$A$1:$C$61, 2, FALSE)="", "", VLOOKUP($G59, 'Enter DVID'!$A$1:$C$61, 2, FALSE)), "")</f>
        <v>463</v>
      </c>
      <c r="I59" s="34" t="str">
        <f>IFERROR(IF(VLOOKUP($G59, 'Enter DVID'!$A$1:$C$61, 3, FALSE)="", "", VLOOKUP($G59, 'Enter DVID'!$A$1:$C$61, 3, FALSE)), "")</f>
        <v>List</v>
      </c>
      <c r="K59" s="34" t="str">
        <f>IFERROR(IF(VLOOKUP($G59, 'Enter DVID'!$A$1:$D$61, 4, FALSE)="", "", VLOOKUP($G59, 'Enter DVID'!$A$1:$D$61, 4, FALSE)), "")</f>
        <v>CMS_PORTSTATEINFO</v>
      </c>
    </row>
    <row r="61" spans="1:12" ht="16.5" thickBot="1" x14ac:dyDescent="0.3">
      <c r="A61" s="1" t="s">
        <v>14</v>
      </c>
      <c r="B61" s="1" t="s">
        <v>15</v>
      </c>
      <c r="C61" s="3" t="s">
        <v>16</v>
      </c>
      <c r="D61" s="7" t="s">
        <v>122</v>
      </c>
      <c r="E61" s="3" t="s">
        <v>255</v>
      </c>
      <c r="F61" s="15" t="s">
        <v>126</v>
      </c>
      <c r="G61" s="1" t="s">
        <v>123</v>
      </c>
      <c r="H61" s="35" t="s">
        <v>124</v>
      </c>
      <c r="I61" s="35" t="s">
        <v>125</v>
      </c>
      <c r="J61" s="15" t="s">
        <v>100</v>
      </c>
      <c r="K61" s="43" t="s">
        <v>101</v>
      </c>
      <c r="L61" s="15" t="s">
        <v>102</v>
      </c>
    </row>
    <row r="62" spans="1:12" ht="17.25" thickTop="1" thickBot="1" x14ac:dyDescent="0.3">
      <c r="A62" s="4">
        <v>10</v>
      </c>
      <c r="B62" s="2" t="s">
        <v>28</v>
      </c>
      <c r="C62" s="2" t="s">
        <v>49</v>
      </c>
      <c r="D62" s="2" t="s">
        <v>92</v>
      </c>
      <c r="E62" s="2" t="s">
        <v>50</v>
      </c>
      <c r="F62" s="62" t="s">
        <v>506</v>
      </c>
      <c r="G62" s="61" t="s">
        <v>20</v>
      </c>
      <c r="H62" s="36" t="str">
        <f>IFERROR(IF(VLOOKUP($G62, 'Enter DVID'!$A$1:$C$61, 2, FALSE)="", "", VLOOKUP($G62, 'Enter DVID'!$A$1:$C$61, 2, FALSE)), "")</f>
        <v>2001</v>
      </c>
      <c r="I62" s="63" t="str">
        <f>IFERROR(IF(VLOOKUP($G62, 'Enter DVID'!$A$1:$C$61, 3, FALSE)="", "", VLOOKUP($G62, 'Enter DVID'!$A$1:$C$61, 3, FALSE)), "")</f>
        <v>U1</v>
      </c>
      <c r="J62" s="62" t="s">
        <v>92</v>
      </c>
      <c r="K62" s="64" t="str">
        <f>IFERROR(IF(VLOOKUP($G62, 'Enter DVID'!$A$1:$D$61, 4, FALSE)="", "", VLOOKUP($G62, 'Enter DVID'!$A$1:$D$61, 4, FALSE)), "")</f>
        <v>PORTID</v>
      </c>
    </row>
    <row r="63" spans="1:12" ht="16.5" thickTop="1" x14ac:dyDescent="0.25">
      <c r="G63" s="19" t="s">
        <v>241</v>
      </c>
      <c r="H63" s="36" t="str">
        <f>IFERROR(IF(VLOOKUP($G63, 'Enter DVID'!$A$1:$C$61, 2, FALSE)="", "", VLOOKUP($G63, 'Enter DVID'!$A$1:$C$61, 2, FALSE)), "")</f>
        <v>2005</v>
      </c>
      <c r="I63" s="36" t="str">
        <f>IFERROR(IF(VLOOKUP($G63, 'Enter DVID'!$A$1:$C$61, 3, FALSE)="", "", VLOOKUP($G63, 'Enter DVID'!$A$1:$C$61, 3, FALSE)), "")</f>
        <v>U1</v>
      </c>
      <c r="K63" s="36" t="str">
        <f>IFERROR(IF(VLOOKUP($G63, 'Enter DVID'!$A$1:$D$61, 4, FALSE)="", "", VLOOKUP($G63, 'Enter DVID'!$A$1:$D$61, 4, FALSE)), "")</f>
        <v>PORTTRANSFERSTATE</v>
      </c>
    </row>
    <row r="64" spans="1:12" x14ac:dyDescent="0.25">
      <c r="G64" s="21" t="s">
        <v>18</v>
      </c>
      <c r="H64" s="34" t="str">
        <f>IFERROR(IF(VLOOKUP($G64, 'Enter DVID'!$A$1:$C$61, 2, FALSE)="", "", VLOOKUP($G64, 'Enter DVID'!$A$1:$C$61, 2, FALSE)), "")</f>
        <v/>
      </c>
      <c r="I64" s="34" t="str">
        <f>IFERROR(IF(VLOOKUP($G64, 'Enter DVID'!$A$1:$C$61, 3, FALSE)="", "", VLOOKUP($G64, 'Enter DVID'!$A$1:$C$61, 3, FALSE)), "")</f>
        <v/>
      </c>
      <c r="K64" s="34" t="str">
        <f>IFERROR(IF(VLOOKUP($G64, 'Enter DVID'!$A$1:$D$61, 4, FALSE)="", "", VLOOKUP($G64, 'Enter DVID'!$A$1:$D$61, 4, FALSE)), "")</f>
        <v/>
      </c>
    </row>
    <row r="65" spans="1:12" x14ac:dyDescent="0.25">
      <c r="G65" s="21" t="s">
        <v>19</v>
      </c>
      <c r="H65" s="34" t="str">
        <f>IFERROR(IF(VLOOKUP($G65, 'Enter DVID'!$A$1:$C$61, 2, FALSE)="", "", VLOOKUP($G65, 'Enter DVID'!$A$1:$C$61, 2, FALSE)), "")</f>
        <v>3</v>
      </c>
      <c r="I65" s="34" t="str">
        <f>IFERROR(IF(VLOOKUP($G65, 'Enter DVID'!$A$1:$C$61, 3, FALSE)="", "", VLOOKUP($G65, 'Enter DVID'!$A$1:$C$61, 3, FALSE)), "")</f>
        <v>A</v>
      </c>
      <c r="K65" s="34" t="str">
        <f>IFERROR(IF(VLOOKUP($G65, 'Enter DVID'!$A$1:$D$61, 4, FALSE)="", "", VLOOKUP($G65, 'Enter DVID'!$A$1:$D$61, 4, FALSE)), "")</f>
        <v>SYS_CLOCK</v>
      </c>
    </row>
    <row r="67" spans="1:12" ht="16.5" thickBot="1" x14ac:dyDescent="0.3">
      <c r="A67" s="1" t="s">
        <v>14</v>
      </c>
      <c r="B67" s="1" t="s">
        <v>15</v>
      </c>
      <c r="C67" s="3" t="s">
        <v>16</v>
      </c>
      <c r="D67" s="7" t="s">
        <v>122</v>
      </c>
      <c r="E67" s="3" t="s">
        <v>255</v>
      </c>
      <c r="F67" s="15" t="s">
        <v>126</v>
      </c>
      <c r="G67" s="1" t="s">
        <v>123</v>
      </c>
      <c r="H67" s="35" t="s">
        <v>124</v>
      </c>
      <c r="I67" s="35" t="s">
        <v>125</v>
      </c>
      <c r="J67" s="15" t="s">
        <v>100</v>
      </c>
      <c r="K67" s="43" t="s">
        <v>101</v>
      </c>
      <c r="L67" s="15" t="s">
        <v>102</v>
      </c>
    </row>
    <row r="68" spans="1:12" ht="17.25" thickTop="1" thickBot="1" x14ac:dyDescent="0.3">
      <c r="A68" s="4">
        <v>11</v>
      </c>
      <c r="B68" s="2" t="s">
        <v>28</v>
      </c>
      <c r="C68" s="5" t="s">
        <v>61</v>
      </c>
      <c r="D68" s="2" t="s">
        <v>93</v>
      </c>
      <c r="E68" s="2" t="s">
        <v>51</v>
      </c>
      <c r="F68" s="62" t="s">
        <v>516</v>
      </c>
      <c r="G68" s="61" t="s">
        <v>20</v>
      </c>
      <c r="H68" s="36" t="str">
        <f>IFERROR(IF(VLOOKUP($G68, 'Enter DVID'!$A$1:$C$61, 2, FALSE)="", "", VLOOKUP($G68, 'Enter DVID'!$A$1:$C$61, 2, FALSE)), "")</f>
        <v>2001</v>
      </c>
      <c r="I68" s="63" t="str">
        <f>IFERROR(IF(VLOOKUP($G68, 'Enter DVID'!$A$1:$C$61, 3, FALSE)="", "", VLOOKUP($G68, 'Enter DVID'!$A$1:$C$61, 3, FALSE)), "")</f>
        <v>U1</v>
      </c>
      <c r="J68" s="62" t="s">
        <v>517</v>
      </c>
      <c r="K68" s="64" t="str">
        <f>IFERROR(IF(VLOOKUP($G68, 'Enter DVID'!$A$1:$D$61, 4, FALSE)="", "", VLOOKUP($G68, 'Enter DVID'!$A$1:$D$61, 4, FALSE)), "")</f>
        <v>PORTID</v>
      </c>
    </row>
    <row r="69" spans="1:12" ht="16.5" thickTop="1" x14ac:dyDescent="0.25">
      <c r="G69" s="19" t="s">
        <v>241</v>
      </c>
      <c r="H69" s="36" t="str">
        <f>IFERROR(IF(VLOOKUP($G69, 'Enter DVID'!$A$1:$C$61, 2, FALSE)="", "", VLOOKUP($G69, 'Enter DVID'!$A$1:$C$61, 2, FALSE)), "")</f>
        <v>2005</v>
      </c>
      <c r="I69" s="36" t="str">
        <f>IFERROR(IF(VLOOKUP($G69, 'Enter DVID'!$A$1:$C$61, 3, FALSE)="", "", VLOOKUP($G69, 'Enter DVID'!$A$1:$C$61, 3, FALSE)), "")</f>
        <v>U1</v>
      </c>
      <c r="K69" s="36" t="str">
        <f>IFERROR(IF(VLOOKUP($G69, 'Enter DVID'!$A$1:$D$61, 4, FALSE)="", "", VLOOKUP($G69, 'Enter DVID'!$A$1:$D$61, 4, FALSE)), "")</f>
        <v>PORTTRANSFERSTATE</v>
      </c>
    </row>
    <row r="70" spans="1:12" x14ac:dyDescent="0.25">
      <c r="G70" s="21" t="s">
        <v>18</v>
      </c>
      <c r="H70" s="34" t="str">
        <f>IFERROR(IF(VLOOKUP($G70, 'Enter DVID'!$A$1:$C$61, 2, FALSE)="", "", VLOOKUP($G70, 'Enter DVID'!$A$1:$C$61, 2, FALSE)), "")</f>
        <v/>
      </c>
      <c r="I70" s="34" t="str">
        <f>IFERROR(IF(VLOOKUP($G70, 'Enter DVID'!$A$1:$C$61, 3, FALSE)="", "", VLOOKUP($G70, 'Enter DVID'!$A$1:$C$61, 3, FALSE)), "")</f>
        <v/>
      </c>
      <c r="K70" s="34" t="str">
        <f>IFERROR(IF(VLOOKUP($G70, 'Enter DVID'!$A$1:$D$61, 4, FALSE)="", "", VLOOKUP($G70, 'Enter DVID'!$A$1:$D$61, 4, FALSE)), "")</f>
        <v/>
      </c>
    </row>
    <row r="71" spans="1:12" x14ac:dyDescent="0.25">
      <c r="G71" s="21" t="s">
        <v>19</v>
      </c>
      <c r="H71" s="34" t="str">
        <f>IFERROR(IF(VLOOKUP($G71, 'Enter DVID'!$A$1:$C$61, 2, FALSE)="", "", VLOOKUP($G71, 'Enter DVID'!$A$1:$C$61, 2, FALSE)), "")</f>
        <v>3</v>
      </c>
      <c r="I71" s="34" t="str">
        <f>IFERROR(IF(VLOOKUP($G71, 'Enter DVID'!$A$1:$C$61, 3, FALSE)="", "", VLOOKUP($G71, 'Enter DVID'!$A$1:$C$61, 3, FALSE)), "")</f>
        <v>A</v>
      </c>
      <c r="K71" s="34" t="str">
        <f>IFERROR(IF(VLOOKUP($G71, 'Enter DVID'!$A$1:$D$61, 4, FALSE)="", "", VLOOKUP($G71, 'Enter DVID'!$A$1:$D$61, 4, FALSE)), "")</f>
        <v>SYS_CLOCK</v>
      </c>
    </row>
    <row r="72" spans="1:12" x14ac:dyDescent="0.25">
      <c r="G72" s="21" t="s">
        <v>4</v>
      </c>
      <c r="H72" s="34" t="str">
        <f>IFERROR(IF(VLOOKUP($G72, 'Enter DVID'!$A$1:$C$61, 2, FALSE)="", "", VLOOKUP($G72, 'Enter DVID'!$A$1:$C$61, 2, FALSE)), "")</f>
        <v>448</v>
      </c>
      <c r="I72" s="34" t="str">
        <f>IFERROR(IF(VLOOKUP($G72, 'Enter DVID'!$A$1:$C$61, 3, FALSE)="", "", VLOOKUP($G72, 'Enter DVID'!$A$1:$C$61, 3, FALSE)), "")</f>
        <v>A</v>
      </c>
      <c r="K72" s="34" t="str">
        <f>IFERROR(IF(VLOOKUP($G72, 'Enter DVID'!$A$1:$D$61, 4, FALSE)="", "", VLOOKUP($G72, 'Enter DVID'!$A$1:$D$61, 4, FALSE)), "")</f>
        <v>CMS_LOCATIONID</v>
      </c>
    </row>
    <row r="74" spans="1:12" ht="16.5" thickBot="1" x14ac:dyDescent="0.3">
      <c r="A74" s="1" t="s">
        <v>14</v>
      </c>
      <c r="B74" s="1" t="s">
        <v>15</v>
      </c>
      <c r="C74" s="3" t="s">
        <v>16</v>
      </c>
      <c r="D74" s="7" t="s">
        <v>122</v>
      </c>
      <c r="E74" s="3" t="s">
        <v>255</v>
      </c>
      <c r="F74" s="15" t="s">
        <v>126</v>
      </c>
      <c r="G74" s="1" t="s">
        <v>123</v>
      </c>
      <c r="H74" s="35" t="s">
        <v>124</v>
      </c>
      <c r="I74" s="35" t="s">
        <v>125</v>
      </c>
      <c r="J74" s="15" t="s">
        <v>100</v>
      </c>
      <c r="K74" s="43" t="s">
        <v>101</v>
      </c>
      <c r="L74" s="15" t="s">
        <v>102</v>
      </c>
    </row>
    <row r="75" spans="1:12" ht="17.25" thickTop="1" thickBot="1" x14ac:dyDescent="0.3">
      <c r="A75" s="4">
        <v>12</v>
      </c>
      <c r="B75" s="2" t="s">
        <v>28</v>
      </c>
      <c r="C75" s="5" t="s">
        <v>30</v>
      </c>
      <c r="D75" s="2" t="s">
        <v>85</v>
      </c>
      <c r="E75" s="2" t="s">
        <v>52</v>
      </c>
      <c r="F75" s="62" t="s">
        <v>505</v>
      </c>
      <c r="G75" s="61" t="s">
        <v>1</v>
      </c>
      <c r="H75" s="36" t="str">
        <f>IFERROR(IF(VLOOKUP($G75, 'Enter DVID'!$A$1:$C$61, 2, FALSE)="", "", VLOOKUP($G75, 'Enter DVID'!$A$1:$C$61, 2, FALSE)), "")</f>
        <v>2001</v>
      </c>
      <c r="I75" s="63" t="str">
        <f>IFERROR(IF(VLOOKUP($G75, 'Enter DVID'!$A$1:$C$61, 3, FALSE)="", "", VLOOKUP($G75, 'Enter DVID'!$A$1:$C$61, 3, FALSE)), "")</f>
        <v>U1</v>
      </c>
      <c r="J75" s="62" t="s">
        <v>85</v>
      </c>
      <c r="K75" s="64" t="str">
        <f>IFERROR(IF(VLOOKUP($G75, 'Enter DVID'!$A$1:$D$61, 4, FALSE)="", "", VLOOKUP($G75, 'Enter DVID'!$A$1:$D$61, 4, FALSE)), "")</f>
        <v>PORTID</v>
      </c>
    </row>
    <row r="76" spans="1:12" ht="16.5" thickTop="1" x14ac:dyDescent="0.25">
      <c r="G76" s="19" t="s">
        <v>241</v>
      </c>
      <c r="H76" s="36" t="str">
        <f>IFERROR(IF(VLOOKUP($G76, 'Enter DVID'!$A$1:$C$61, 2, FALSE)="", "", VLOOKUP($G76, 'Enter DVID'!$A$1:$C$61, 2, FALSE)), "")</f>
        <v>2005</v>
      </c>
      <c r="I76" s="36" t="str">
        <f>IFERROR(IF(VLOOKUP($G76, 'Enter DVID'!$A$1:$C$61, 3, FALSE)="", "", VLOOKUP($G76, 'Enter DVID'!$A$1:$C$61, 3, FALSE)), "")</f>
        <v>U1</v>
      </c>
      <c r="K76" s="36" t="str">
        <f>IFERROR(IF(VLOOKUP($G76, 'Enter DVID'!$A$1:$D$61, 4, FALSE)="", "", VLOOKUP($G76, 'Enter DVID'!$A$1:$D$61, 4, FALSE)), "")</f>
        <v>PORTTRANSFERSTATE</v>
      </c>
    </row>
    <row r="77" spans="1:12" x14ac:dyDescent="0.25">
      <c r="G77" s="21" t="s">
        <v>18</v>
      </c>
      <c r="H77" s="34" t="str">
        <f>IFERROR(IF(VLOOKUP($G77, 'Enter DVID'!$A$1:$C$61, 2, FALSE)="", "", VLOOKUP($G77, 'Enter DVID'!$A$1:$C$61, 2, FALSE)), "")</f>
        <v/>
      </c>
      <c r="I77" s="34" t="str">
        <f>IFERROR(IF(VLOOKUP($G77, 'Enter DVID'!$A$1:$C$61, 3, FALSE)="", "", VLOOKUP($G77, 'Enter DVID'!$A$1:$C$61, 3, FALSE)), "")</f>
        <v/>
      </c>
      <c r="K77" s="34" t="str">
        <f>IFERROR(IF(VLOOKUP($G77, 'Enter DVID'!$A$1:$D$61, 4, FALSE)="", "", VLOOKUP($G77, 'Enter DVID'!$A$1:$D$61, 4, FALSE)), "")</f>
        <v/>
      </c>
    </row>
    <row r="78" spans="1:12" x14ac:dyDescent="0.25">
      <c r="G78" s="21" t="s">
        <v>19</v>
      </c>
      <c r="H78" s="34" t="str">
        <f>IFERROR(IF(VLOOKUP($G78, 'Enter DVID'!$A$1:$C$61, 2, FALSE)="", "", VLOOKUP($G78, 'Enter DVID'!$A$1:$C$61, 2, FALSE)), "")</f>
        <v>3</v>
      </c>
      <c r="I78" s="34" t="str">
        <f>IFERROR(IF(VLOOKUP($G78, 'Enter DVID'!$A$1:$C$61, 3, FALSE)="", "", VLOOKUP($G78, 'Enter DVID'!$A$1:$C$61, 3, FALSE)), "")</f>
        <v>A</v>
      </c>
      <c r="K78" s="34" t="str">
        <f>IFERROR(IF(VLOOKUP($G78, 'Enter DVID'!$A$1:$D$61, 4, FALSE)="", "", VLOOKUP($G78, 'Enter DVID'!$A$1:$D$61, 4, FALSE)), "")</f>
        <v>SYS_CLOCK</v>
      </c>
    </row>
    <row r="80" spans="1:12" ht="16.5" thickBot="1" x14ac:dyDescent="0.3">
      <c r="A80" s="1" t="s">
        <v>14</v>
      </c>
      <c r="B80" s="1" t="s">
        <v>15</v>
      </c>
      <c r="C80" s="3" t="s">
        <v>16</v>
      </c>
      <c r="D80" s="7" t="s">
        <v>122</v>
      </c>
      <c r="E80" s="3" t="s">
        <v>255</v>
      </c>
      <c r="F80" s="15" t="s">
        <v>126</v>
      </c>
      <c r="G80" s="1" t="s">
        <v>123</v>
      </c>
      <c r="H80" s="35" t="s">
        <v>124</v>
      </c>
      <c r="I80" s="35" t="s">
        <v>125</v>
      </c>
      <c r="J80" s="15" t="s">
        <v>100</v>
      </c>
      <c r="K80" s="43" t="s">
        <v>101</v>
      </c>
      <c r="L80" s="15" t="s">
        <v>102</v>
      </c>
    </row>
    <row r="81" spans="1:12" ht="17.25" thickTop="1" thickBot="1" x14ac:dyDescent="0.3">
      <c r="A81" s="4">
        <v>13</v>
      </c>
      <c r="B81" s="2" t="s">
        <v>17</v>
      </c>
      <c r="C81" s="5" t="s">
        <v>108</v>
      </c>
      <c r="D81" s="2" t="s">
        <v>249</v>
      </c>
      <c r="F81" s="62" t="s">
        <v>510</v>
      </c>
      <c r="G81" s="61" t="s">
        <v>20</v>
      </c>
      <c r="H81" s="36" t="str">
        <f>IFERROR(IF(VLOOKUP($G81, 'Enter DVID'!$A$1:$C$61, 2, FALSE)="", "", VLOOKUP($G81, 'Enter DVID'!$A$1:$C$61, 2, FALSE)), "")</f>
        <v>2001</v>
      </c>
      <c r="I81" s="63" t="str">
        <f>IFERROR(IF(VLOOKUP($G81, 'Enter DVID'!$A$1:$C$61, 3, FALSE)="", "", VLOOKUP($G81, 'Enter DVID'!$A$1:$C$61, 3, FALSE)), "")</f>
        <v>U1</v>
      </c>
      <c r="J81" s="62" t="s">
        <v>512</v>
      </c>
      <c r="K81" s="64" t="str">
        <f>IFERROR(IF(VLOOKUP($G81, 'Enter DVID'!$A$1:$D$61, 4, FALSE)="", "", VLOOKUP($G81, 'Enter DVID'!$A$1:$D$61, 4, FALSE)), "")</f>
        <v>PORTID</v>
      </c>
    </row>
    <row r="82" spans="1:12" ht="17.25" thickTop="1" x14ac:dyDescent="0.25">
      <c r="A82" s="4"/>
      <c r="C82" s="5"/>
      <c r="G82" s="19" t="s">
        <v>242</v>
      </c>
      <c r="H82" s="36" t="str">
        <f>IFERROR(IF(VLOOKUP($G82, 'Enter DVID'!$A$1:$C$61, 2, FALSE)="", "", VLOOKUP($G82, 'Enter DVID'!$A$1:$C$61, 2, FALSE)), "")</f>
        <v>2002</v>
      </c>
      <c r="I82" s="36" t="str">
        <f>IFERROR(IF(VLOOKUP($G82, 'Enter DVID'!$A$1:$C$61, 3, FALSE)="", "", VLOOKUP($G82, 'Enter DVID'!$A$1:$C$61, 3, FALSE)), "")</f>
        <v>U1</v>
      </c>
      <c r="K82" s="36" t="str">
        <f>IFERROR(IF(VLOOKUP($G82, 'Enter DVID'!$A$1:$D$61, 4, FALSE)="", "", VLOOKUP($G82, 'Enter DVID'!$A$1:$D$61, 4, FALSE)), "")</f>
        <v>ACCESSMODE</v>
      </c>
      <c r="L82" s="14" t="s">
        <v>257</v>
      </c>
    </row>
    <row r="83" spans="1:12" x14ac:dyDescent="0.25">
      <c r="G83" s="21" t="s">
        <v>18</v>
      </c>
      <c r="H83" s="34" t="str">
        <f>IFERROR(IF(VLOOKUP($G83, 'Enter DVID'!$A$1:$C$61, 2, FALSE)="", "", VLOOKUP($G83, 'Enter DVID'!$A$1:$C$61, 2, FALSE)), "")</f>
        <v/>
      </c>
      <c r="I83" s="34" t="str">
        <f>IFERROR(IF(VLOOKUP($G83, 'Enter DVID'!$A$1:$C$61, 3, FALSE)="", "", VLOOKUP($G83, 'Enter DVID'!$A$1:$C$61, 3, FALSE)), "")</f>
        <v/>
      </c>
      <c r="K83" s="34" t="str">
        <f>IFERROR(IF(VLOOKUP($G83, 'Enter DVID'!$A$1:$D$61, 4, FALSE)="", "", VLOOKUP($G83, 'Enter DVID'!$A$1:$D$61, 4, FALSE)), "")</f>
        <v/>
      </c>
    </row>
    <row r="84" spans="1:12" x14ac:dyDescent="0.25">
      <c r="G84" s="21" t="s">
        <v>19</v>
      </c>
      <c r="H84" s="34" t="str">
        <f>IFERROR(IF(VLOOKUP($G84, 'Enter DVID'!$A$1:$C$61, 2, FALSE)="", "", VLOOKUP($G84, 'Enter DVID'!$A$1:$C$61, 2, FALSE)), "")</f>
        <v>3</v>
      </c>
      <c r="I84" s="34" t="str">
        <f>IFERROR(IF(VLOOKUP($G84, 'Enter DVID'!$A$1:$C$61, 3, FALSE)="", "", VLOOKUP($G84, 'Enter DVID'!$A$1:$C$61, 3, FALSE)), "")</f>
        <v>A</v>
      </c>
      <c r="K84" s="34" t="str">
        <f>IFERROR(IF(VLOOKUP($G84, 'Enter DVID'!$A$1:$D$61, 4, FALSE)="", "", VLOOKUP($G84, 'Enter DVID'!$A$1:$D$61, 4, FALSE)), "")</f>
        <v>SYS_CLOCK</v>
      </c>
    </row>
    <row r="86" spans="1:12" ht="16.5" thickBot="1" x14ac:dyDescent="0.3">
      <c r="A86" s="1" t="s">
        <v>14</v>
      </c>
      <c r="B86" s="1" t="s">
        <v>15</v>
      </c>
      <c r="C86" s="3" t="s">
        <v>16</v>
      </c>
      <c r="D86" s="7" t="s">
        <v>122</v>
      </c>
      <c r="E86" s="3" t="s">
        <v>255</v>
      </c>
      <c r="F86" s="15" t="s">
        <v>126</v>
      </c>
      <c r="G86" s="1" t="s">
        <v>123</v>
      </c>
      <c r="H86" s="35" t="s">
        <v>124</v>
      </c>
      <c r="I86" s="35" t="s">
        <v>125</v>
      </c>
      <c r="J86" s="15" t="s">
        <v>100</v>
      </c>
      <c r="K86" s="43" t="s">
        <v>101</v>
      </c>
      <c r="L86" s="15" t="s">
        <v>102</v>
      </c>
    </row>
    <row r="87" spans="1:12" ht="17.25" thickTop="1" thickBot="1" x14ac:dyDescent="0.3">
      <c r="A87" s="4">
        <v>14</v>
      </c>
      <c r="B87" s="2" t="s">
        <v>17</v>
      </c>
      <c r="C87" s="5" t="s">
        <v>109</v>
      </c>
      <c r="D87" s="2" t="s">
        <v>250</v>
      </c>
      <c r="F87" s="62" t="s">
        <v>511</v>
      </c>
      <c r="G87" s="61" t="s">
        <v>20</v>
      </c>
      <c r="H87" s="36" t="str">
        <f>IFERROR(IF(VLOOKUP($G87, 'Enter DVID'!$A$1:$C$61, 2, FALSE)="", "", VLOOKUP($G87, 'Enter DVID'!$A$1:$C$61, 2, FALSE)), "")</f>
        <v>2001</v>
      </c>
      <c r="I87" s="63" t="str">
        <f>IFERROR(IF(VLOOKUP($G87, 'Enter DVID'!$A$1:$C$61, 3, FALSE)="", "", VLOOKUP($G87, 'Enter DVID'!$A$1:$C$61, 3, FALSE)), "")</f>
        <v>U1</v>
      </c>
      <c r="J87" s="62" t="s">
        <v>513</v>
      </c>
      <c r="K87" s="64" t="str">
        <f>IFERROR(IF(VLOOKUP($G87, 'Enter DVID'!$A$1:$D$61, 4, FALSE)="", "", VLOOKUP($G87, 'Enter DVID'!$A$1:$D$61, 4, FALSE)), "")</f>
        <v>PORTID</v>
      </c>
    </row>
    <row r="88" spans="1:12" ht="17.25" thickTop="1" x14ac:dyDescent="0.25">
      <c r="A88" s="4"/>
      <c r="C88" s="5"/>
      <c r="G88" s="19" t="s">
        <v>242</v>
      </c>
      <c r="H88" s="36" t="str">
        <f>IFERROR(IF(VLOOKUP($G88, 'Enter DVID'!$A$1:$C$61, 2, FALSE)="", "", VLOOKUP($G88, 'Enter DVID'!$A$1:$C$61, 2, FALSE)), "")</f>
        <v>2002</v>
      </c>
      <c r="I88" s="36" t="str">
        <f>IFERROR(IF(VLOOKUP($G88, 'Enter DVID'!$A$1:$C$61, 3, FALSE)="", "", VLOOKUP($G88, 'Enter DVID'!$A$1:$C$61, 3, FALSE)), "")</f>
        <v>U1</v>
      </c>
      <c r="K88" s="36" t="str">
        <f>IFERROR(IF(VLOOKUP($G88, 'Enter DVID'!$A$1:$D$61, 4, FALSE)="", "", VLOOKUP($G88, 'Enter DVID'!$A$1:$D$61, 4, FALSE)), "")</f>
        <v>ACCESSMODE</v>
      </c>
      <c r="L88" s="14" t="s">
        <v>257</v>
      </c>
    </row>
    <row r="89" spans="1:12" x14ac:dyDescent="0.25">
      <c r="G89" s="21" t="s">
        <v>18</v>
      </c>
      <c r="H89" s="34" t="str">
        <f>IFERROR(IF(VLOOKUP($G89, 'Enter DVID'!$A$1:$C$61, 2, FALSE)="", "", VLOOKUP($G89, 'Enter DVID'!$A$1:$C$61, 2, FALSE)), "")</f>
        <v/>
      </c>
      <c r="I89" s="34" t="str">
        <f>IFERROR(IF(VLOOKUP($G89, 'Enter DVID'!$A$1:$C$61, 3, FALSE)="", "", VLOOKUP($G89, 'Enter DVID'!$A$1:$C$61, 3, FALSE)), "")</f>
        <v/>
      </c>
      <c r="K89" s="34" t="str">
        <f>IFERROR(IF(VLOOKUP($G89, 'Enter DVID'!$A$1:$D$61, 4, FALSE)="", "", VLOOKUP($G89, 'Enter DVID'!$A$1:$D$61, 4, FALSE)), "")</f>
        <v/>
      </c>
    </row>
    <row r="90" spans="1:12" x14ac:dyDescent="0.25">
      <c r="G90" s="21" t="s">
        <v>19</v>
      </c>
      <c r="H90" s="34" t="str">
        <f>IFERROR(IF(VLOOKUP($G90, 'Enter DVID'!$A$1:$C$61, 2, FALSE)="", "", VLOOKUP($G90, 'Enter DVID'!$A$1:$C$61, 2, FALSE)), "")</f>
        <v>3</v>
      </c>
      <c r="I90" s="34" t="str">
        <f>IFERROR(IF(VLOOKUP($G90, 'Enter DVID'!$A$1:$C$61, 3, FALSE)="", "", VLOOKUP($G90, 'Enter DVID'!$A$1:$C$61, 3, FALSE)), "")</f>
        <v>A</v>
      </c>
      <c r="K90" s="34" t="str">
        <f>IFERROR(IF(VLOOKUP($G90, 'Enter DVID'!$A$1:$D$61, 4, FALSE)="", "", VLOOKUP($G90, 'Enter DVID'!$A$1:$D$61, 4, FALSE)), "")</f>
        <v>SYS_CLOCK</v>
      </c>
    </row>
    <row r="92" spans="1:12" ht="16.5" thickBot="1" x14ac:dyDescent="0.3">
      <c r="A92" s="1" t="s">
        <v>14</v>
      </c>
      <c r="B92" s="1" t="s">
        <v>15</v>
      </c>
      <c r="C92" s="3" t="s">
        <v>16</v>
      </c>
      <c r="D92" s="7" t="s">
        <v>122</v>
      </c>
      <c r="E92" s="3" t="s">
        <v>255</v>
      </c>
      <c r="F92" s="15" t="s">
        <v>126</v>
      </c>
      <c r="G92" s="1" t="s">
        <v>123</v>
      </c>
      <c r="H92" s="35" t="s">
        <v>124</v>
      </c>
      <c r="I92" s="35" t="s">
        <v>125</v>
      </c>
      <c r="J92" s="15" t="s">
        <v>100</v>
      </c>
      <c r="K92" s="43" t="s">
        <v>101</v>
      </c>
      <c r="L92" s="15" t="s">
        <v>102</v>
      </c>
    </row>
    <row r="93" spans="1:12" ht="17.25" thickTop="1" thickBot="1" x14ac:dyDescent="0.3">
      <c r="A93" s="4">
        <v>15</v>
      </c>
      <c r="B93" s="2" t="s">
        <v>53</v>
      </c>
      <c r="C93" s="2" t="s">
        <v>54</v>
      </c>
      <c r="D93" s="2" t="s">
        <v>144</v>
      </c>
      <c r="F93" s="62" t="s">
        <v>514</v>
      </c>
      <c r="G93" s="61" t="s">
        <v>20</v>
      </c>
      <c r="H93" s="36" t="str">
        <f>IFERROR(IF(VLOOKUP($G93, 'Enter DVID'!$A$1:$C$61, 2, FALSE)="", "", VLOOKUP($G93, 'Enter DVID'!$A$1:$C$61, 2, FALSE)), "")</f>
        <v>2001</v>
      </c>
      <c r="I93" s="63" t="str">
        <f>IFERROR(IF(VLOOKUP($G93, 'Enter DVID'!$A$1:$C$61, 3, FALSE)="", "", VLOOKUP($G93, 'Enter DVID'!$A$1:$C$61, 3, FALSE)), "")</f>
        <v>U1</v>
      </c>
      <c r="J93" s="62" t="s">
        <v>515</v>
      </c>
      <c r="K93" s="64" t="str">
        <f>IFERROR(IF(VLOOKUP($G93, 'Enter DVID'!$A$1:$D$61, 4, FALSE)="", "", VLOOKUP($G93, 'Enter DVID'!$A$1:$D$61, 4, FALSE)), "")</f>
        <v>PORTID</v>
      </c>
    </row>
    <row r="94" spans="1:12" ht="16.5" thickTop="1" x14ac:dyDescent="0.25">
      <c r="G94" s="19" t="s">
        <v>27</v>
      </c>
      <c r="H94" s="36" t="str">
        <f>IFERROR(IF(VLOOKUP($G94, 'Enter DVID'!$A$1:$C$61, 2, FALSE)="", "", VLOOKUP($G94, 'Enter DVID'!$A$1:$C$61, 2, FALSE)), "")</f>
        <v>2000</v>
      </c>
      <c r="I94" s="36" t="str">
        <f>IFERROR(IF(VLOOKUP($G94, 'Enter DVID'!$A$1:$C$61, 3, FALSE)="", "", VLOOKUP($G94, 'Enter DVID'!$A$1:$C$61, 3, FALSE)), "")</f>
        <v>A</v>
      </c>
      <c r="K94" s="36" t="str">
        <f>IFERROR(IF(VLOOKUP($G94, 'Enter DVID'!$A$1:$D$61, 4, FALSE)="", "", VLOOKUP($G94, 'Enter DVID'!$A$1:$D$61, 4, FALSE)), "")</f>
        <v>CARRIERID</v>
      </c>
    </row>
    <row r="95" spans="1:12" x14ac:dyDescent="0.25">
      <c r="G95" s="21" t="s">
        <v>18</v>
      </c>
      <c r="H95" s="34" t="str">
        <f>IFERROR(IF(VLOOKUP($G95, 'Enter DVID'!$A$1:$C$61, 2, FALSE)="", "", VLOOKUP($G95, 'Enter DVID'!$A$1:$C$61, 2, FALSE)), "")</f>
        <v/>
      </c>
      <c r="I95" s="34" t="str">
        <f>IFERROR(IF(VLOOKUP($G95, 'Enter DVID'!$A$1:$C$61, 3, FALSE)="", "", VLOOKUP($G95, 'Enter DVID'!$A$1:$C$61, 3, FALSE)), "")</f>
        <v/>
      </c>
      <c r="K95" s="34" t="str">
        <f>IFERROR(IF(VLOOKUP($G95, 'Enter DVID'!$A$1:$D$61, 4, FALSE)="", "", VLOOKUP($G95, 'Enter DVID'!$A$1:$D$61, 4, FALSE)), "")</f>
        <v/>
      </c>
    </row>
    <row r="96" spans="1:12" x14ac:dyDescent="0.25">
      <c r="G96" s="21" t="s">
        <v>19</v>
      </c>
      <c r="H96" s="34" t="str">
        <f>IFERROR(IF(VLOOKUP($G96, 'Enter DVID'!$A$1:$C$61, 2, FALSE)="", "", VLOOKUP($G96, 'Enter DVID'!$A$1:$C$61, 2, FALSE)), "")</f>
        <v>3</v>
      </c>
      <c r="I96" s="34" t="str">
        <f>IFERROR(IF(VLOOKUP($G96, 'Enter DVID'!$A$1:$C$61, 3, FALSE)="", "", VLOOKUP($G96, 'Enter DVID'!$A$1:$C$61, 3, FALSE)), "")</f>
        <v>A</v>
      </c>
      <c r="K96" s="34" t="str">
        <f>IFERROR(IF(VLOOKUP($G96, 'Enter DVID'!$A$1:$D$61, 4, FALSE)="", "", VLOOKUP($G96, 'Enter DVID'!$A$1:$D$61, 4, FALSE)), "")</f>
        <v>SYS_CLOCK</v>
      </c>
    </row>
    <row r="97" spans="1:12" x14ac:dyDescent="0.25">
      <c r="G97" s="21" t="s">
        <v>4</v>
      </c>
      <c r="H97" s="34" t="str">
        <f>IFERROR(IF(VLOOKUP($G97, 'Enter DVID'!$A$1:$C$61, 2, FALSE)="", "", VLOOKUP($G97, 'Enter DVID'!$A$1:$C$61, 2, FALSE)), "")</f>
        <v>448</v>
      </c>
      <c r="I97" s="34" t="str">
        <f>IFERROR(IF(VLOOKUP($G97, 'Enter DVID'!$A$1:$C$61, 3, FALSE)="", "", VLOOKUP($G97, 'Enter DVID'!$A$1:$C$61, 3, FALSE)), "")</f>
        <v>A</v>
      </c>
      <c r="K97" s="34" t="str">
        <f>IFERROR(IF(VLOOKUP($G97, 'Enter DVID'!$A$1:$D$61, 4, FALSE)="", "", VLOOKUP($G97, 'Enter DVID'!$A$1:$D$61, 4, FALSE)), "")</f>
        <v>CMS_LOCATIONID</v>
      </c>
    </row>
    <row r="99" spans="1:12" ht="16.5" thickBot="1" x14ac:dyDescent="0.3">
      <c r="A99" s="1" t="s">
        <v>14</v>
      </c>
      <c r="B99" s="1" t="s">
        <v>15</v>
      </c>
      <c r="C99" s="3" t="s">
        <v>16</v>
      </c>
      <c r="D99" s="7" t="s">
        <v>122</v>
      </c>
      <c r="E99" s="3" t="s">
        <v>255</v>
      </c>
      <c r="F99" s="15" t="s">
        <v>126</v>
      </c>
      <c r="G99" s="1" t="s">
        <v>123</v>
      </c>
      <c r="H99" s="35" t="s">
        <v>124</v>
      </c>
      <c r="I99" s="35" t="s">
        <v>125</v>
      </c>
      <c r="J99" s="15" t="s">
        <v>100</v>
      </c>
      <c r="K99" s="43" t="s">
        <v>101</v>
      </c>
      <c r="L99" s="15" t="s">
        <v>102</v>
      </c>
    </row>
    <row r="100" spans="1:12" ht="17.25" thickTop="1" thickBot="1" x14ac:dyDescent="0.3">
      <c r="A100" s="4">
        <v>16</v>
      </c>
      <c r="B100" s="2" t="s">
        <v>17</v>
      </c>
      <c r="C100" s="2" t="s">
        <v>21</v>
      </c>
      <c r="D100" s="2" t="s">
        <v>143</v>
      </c>
      <c r="F100" s="62" t="s">
        <v>509</v>
      </c>
      <c r="G100" s="61" t="s">
        <v>20</v>
      </c>
      <c r="H100" s="36" t="str">
        <f>IFERROR(IF(VLOOKUP($G100, 'Enter DVID'!$A$1:$C$61, 2, FALSE)="", "", VLOOKUP($G100, 'Enter DVID'!$A$1:$C$61, 2, FALSE)), "")</f>
        <v>2001</v>
      </c>
      <c r="I100" s="63" t="str">
        <f>IFERROR(IF(VLOOKUP($G100, 'Enter DVID'!$A$1:$C$61, 3, FALSE)="", "", VLOOKUP($G100, 'Enter DVID'!$A$1:$C$61, 3, FALSE)), "")</f>
        <v>U1</v>
      </c>
      <c r="J100" s="62" t="s">
        <v>508</v>
      </c>
      <c r="K100" s="64" t="str">
        <f>IFERROR(IF(VLOOKUP($G100, 'Enter DVID'!$A$1:$D$61, 4, FALSE)="", "", VLOOKUP($G100, 'Enter DVID'!$A$1:$D$61, 4, FALSE)), "")</f>
        <v>PORTID</v>
      </c>
    </row>
    <row r="101" spans="1:12" ht="16.5" thickTop="1" x14ac:dyDescent="0.25">
      <c r="G101" s="19" t="s">
        <v>3</v>
      </c>
      <c r="H101" s="36" t="str">
        <f>IFERROR(IF(VLOOKUP($G101, 'Enter DVID'!$A$1:$C$61, 2, FALSE)="", "", VLOOKUP($G101, 'Enter DVID'!$A$1:$C$61, 2, FALSE)), "")</f>
        <v>2000</v>
      </c>
      <c r="I101" s="36" t="str">
        <f>IFERROR(IF(VLOOKUP($G101, 'Enter DVID'!$A$1:$C$61, 3, FALSE)="", "", VLOOKUP($G101, 'Enter DVID'!$A$1:$C$61, 3, FALSE)), "")</f>
        <v>A</v>
      </c>
      <c r="K101" s="36" t="str">
        <f>IFERROR(IF(VLOOKUP($G101, 'Enter DVID'!$A$1:$D$61, 4, FALSE)="", "", VLOOKUP($G101, 'Enter DVID'!$A$1:$D$61, 4, FALSE)), "")</f>
        <v>CARRIERID</v>
      </c>
    </row>
    <row r="102" spans="1:12" x14ac:dyDescent="0.25">
      <c r="G102" s="21" t="s">
        <v>18</v>
      </c>
      <c r="H102" s="34" t="str">
        <f>IFERROR(IF(VLOOKUP($G102, 'Enter DVID'!$A$1:$C$61, 2, FALSE)="", "", VLOOKUP($G102, 'Enter DVID'!$A$1:$C$61, 2, FALSE)), "")</f>
        <v/>
      </c>
      <c r="I102" s="34" t="str">
        <f>IFERROR(IF(VLOOKUP($G102, 'Enter DVID'!$A$1:$C$61, 3, FALSE)="", "", VLOOKUP($G102, 'Enter DVID'!$A$1:$C$61, 3, FALSE)), "")</f>
        <v/>
      </c>
      <c r="K102" s="34" t="str">
        <f>IFERROR(IF(VLOOKUP($G102, 'Enter DVID'!$A$1:$D$61, 4, FALSE)="", "", VLOOKUP($G102, 'Enter DVID'!$A$1:$D$61, 4, FALSE)), "")</f>
        <v/>
      </c>
    </row>
    <row r="103" spans="1:12" x14ac:dyDescent="0.25">
      <c r="G103" s="21" t="s">
        <v>19</v>
      </c>
      <c r="H103" s="34" t="str">
        <f>IFERROR(IF(VLOOKUP($G103, 'Enter DVID'!$A$1:$C$61, 2, FALSE)="", "", VLOOKUP($G103, 'Enter DVID'!$A$1:$C$61, 2, FALSE)), "")</f>
        <v>3</v>
      </c>
      <c r="I103" s="34" t="str">
        <f>IFERROR(IF(VLOOKUP($G103, 'Enter DVID'!$A$1:$C$61, 3, FALSE)="", "", VLOOKUP($G103, 'Enter DVID'!$A$1:$C$61, 3, FALSE)), "")</f>
        <v>A</v>
      </c>
      <c r="K103" s="34" t="str">
        <f>IFERROR(IF(VLOOKUP($G103, 'Enter DVID'!$A$1:$D$61, 4, FALSE)="", "", VLOOKUP($G103, 'Enter DVID'!$A$1:$D$61, 4, FALSE)), "")</f>
        <v>SYS_CLOCK</v>
      </c>
    </row>
    <row r="104" spans="1:12" x14ac:dyDescent="0.25">
      <c r="G104" s="21" t="s">
        <v>4</v>
      </c>
      <c r="H104" s="34" t="str">
        <f>IFERROR(IF(VLOOKUP($G104, 'Enter DVID'!$A$1:$C$61, 2, FALSE)="", "", VLOOKUP($G104, 'Enter DVID'!$A$1:$C$61, 2, FALSE)), "")</f>
        <v>448</v>
      </c>
      <c r="I104" s="34" t="str">
        <f>IFERROR(IF(VLOOKUP($G104, 'Enter DVID'!$A$1:$C$61, 3, FALSE)="", "", VLOOKUP($G104, 'Enter DVID'!$A$1:$C$61, 3, FALSE)), "")</f>
        <v>A</v>
      </c>
      <c r="K104" s="34" t="str">
        <f>IFERROR(IF(VLOOKUP($G104, 'Enter DVID'!$A$1:$D$61, 4, FALSE)="", "", VLOOKUP($G104, 'Enter DVID'!$A$1:$D$61, 4, FALSE)), "")</f>
        <v>CMS_LOCATIONID</v>
      </c>
    </row>
    <row r="106" spans="1:12" ht="16.5" thickBot="1" x14ac:dyDescent="0.3">
      <c r="A106" s="1" t="s">
        <v>14</v>
      </c>
      <c r="B106" s="1" t="s">
        <v>15</v>
      </c>
      <c r="C106" s="3" t="s">
        <v>16</v>
      </c>
      <c r="D106" s="7" t="s">
        <v>122</v>
      </c>
      <c r="E106" s="3" t="s">
        <v>255</v>
      </c>
      <c r="F106" s="15" t="s">
        <v>126</v>
      </c>
      <c r="G106" s="1" t="s">
        <v>123</v>
      </c>
      <c r="H106" s="35" t="s">
        <v>124</v>
      </c>
      <c r="I106" s="35" t="s">
        <v>125</v>
      </c>
      <c r="J106" s="15" t="s">
        <v>100</v>
      </c>
      <c r="K106" s="43" t="s">
        <v>101</v>
      </c>
      <c r="L106" s="15" t="s">
        <v>102</v>
      </c>
    </row>
    <row r="107" spans="1:12" ht="17.25" thickTop="1" thickBot="1" x14ac:dyDescent="0.3">
      <c r="A107" s="4">
        <v>17</v>
      </c>
      <c r="B107" s="2" t="s">
        <v>53</v>
      </c>
      <c r="C107" s="2" t="s">
        <v>55</v>
      </c>
      <c r="D107" s="2" t="s">
        <v>81</v>
      </c>
      <c r="F107" s="62" t="s">
        <v>518</v>
      </c>
      <c r="G107" s="61" t="s">
        <v>20</v>
      </c>
      <c r="H107" s="36" t="str">
        <f>IFERROR(IF(VLOOKUP($G107, 'Enter DVID'!$A$1:$C$61, 2, FALSE)="", "", VLOOKUP($G107, 'Enter DVID'!$A$1:$C$61, 2, FALSE)), "")</f>
        <v>2001</v>
      </c>
      <c r="I107" s="63" t="str">
        <f>IFERROR(IF(VLOOKUP($G107, 'Enter DVID'!$A$1:$C$61, 3, FALSE)="", "", VLOOKUP($G107, 'Enter DVID'!$A$1:$C$61, 3, FALSE)), "")</f>
        <v>U1</v>
      </c>
      <c r="J107" s="62" t="s">
        <v>520</v>
      </c>
      <c r="K107" s="64" t="str">
        <f>IFERROR(IF(VLOOKUP($G107, 'Enter DVID'!$A$1:$D$61, 4, FALSE)="", "", VLOOKUP($G107, 'Enter DVID'!$A$1:$D$61, 4, FALSE)), "")</f>
        <v>PORTID</v>
      </c>
    </row>
    <row r="108" spans="1:12" ht="16.5" thickTop="1" x14ac:dyDescent="0.25">
      <c r="G108" s="19" t="s">
        <v>3</v>
      </c>
      <c r="H108" s="36" t="str">
        <f>IFERROR(IF(VLOOKUP($G108, 'Enter DVID'!$A$1:$C$61, 2, FALSE)="", "", VLOOKUP($G108, 'Enter DVID'!$A$1:$C$61, 2, FALSE)), "")</f>
        <v>2000</v>
      </c>
      <c r="I108" s="36" t="str">
        <f>IFERROR(IF(VLOOKUP($G108, 'Enter DVID'!$A$1:$C$61, 3, FALSE)="", "", VLOOKUP($G108, 'Enter DVID'!$A$1:$C$61, 3, FALSE)), "")</f>
        <v>A</v>
      </c>
      <c r="K108" s="36" t="str">
        <f>IFERROR(IF(VLOOKUP($G108, 'Enter DVID'!$A$1:$D$61, 4, FALSE)="", "", VLOOKUP($G108, 'Enter DVID'!$A$1:$D$61, 4, FALSE)), "")</f>
        <v>CARRIERID</v>
      </c>
    </row>
    <row r="109" spans="1:12" x14ac:dyDescent="0.25">
      <c r="G109" s="21" t="s">
        <v>18</v>
      </c>
      <c r="H109" s="34" t="str">
        <f>IFERROR(IF(VLOOKUP($G109, 'Enter DVID'!$A$1:$C$61, 2, FALSE)="", "", VLOOKUP($G109, 'Enter DVID'!$A$1:$C$61, 2, FALSE)), "")</f>
        <v/>
      </c>
      <c r="I109" s="34" t="str">
        <f>IFERROR(IF(VLOOKUP($G109, 'Enter DVID'!$A$1:$C$61, 3, FALSE)="", "", VLOOKUP($G109, 'Enter DVID'!$A$1:$C$61, 3, FALSE)), "")</f>
        <v/>
      </c>
      <c r="K109" s="34" t="str">
        <f>IFERROR(IF(VLOOKUP($G109, 'Enter DVID'!$A$1:$D$61, 4, FALSE)="", "", VLOOKUP($G109, 'Enter DVID'!$A$1:$D$61, 4, FALSE)), "")</f>
        <v/>
      </c>
    </row>
    <row r="110" spans="1:12" x14ac:dyDescent="0.25">
      <c r="G110" s="21" t="s">
        <v>19</v>
      </c>
      <c r="H110" s="34" t="str">
        <f>IFERROR(IF(VLOOKUP($G110, 'Enter DVID'!$A$1:$C$61, 2, FALSE)="", "", VLOOKUP($G110, 'Enter DVID'!$A$1:$C$61, 2, FALSE)), "")</f>
        <v>3</v>
      </c>
      <c r="I110" s="34" t="str">
        <f>IFERROR(IF(VLOOKUP($G110, 'Enter DVID'!$A$1:$C$61, 3, FALSE)="", "", VLOOKUP($G110, 'Enter DVID'!$A$1:$C$61, 3, FALSE)), "")</f>
        <v>A</v>
      </c>
      <c r="K110" s="34" t="str">
        <f>IFERROR(IF(VLOOKUP($G110, 'Enter DVID'!$A$1:$D$61, 4, FALSE)="", "", VLOOKUP($G110, 'Enter DVID'!$A$1:$D$61, 4, FALSE)), "")</f>
        <v>SYS_CLOCK</v>
      </c>
    </row>
    <row r="111" spans="1:12" x14ac:dyDescent="0.25">
      <c r="G111" s="21" t="s">
        <v>4</v>
      </c>
      <c r="H111" s="34" t="str">
        <f>IFERROR(IF(VLOOKUP($G111, 'Enter DVID'!$A$1:$C$61, 2, FALSE)="", "", VLOOKUP($G111, 'Enter DVID'!$A$1:$C$61, 2, FALSE)), "")</f>
        <v>448</v>
      </c>
      <c r="I111" s="34" t="str">
        <f>IFERROR(IF(VLOOKUP($G111, 'Enter DVID'!$A$1:$C$61, 3, FALSE)="", "", VLOOKUP($G111, 'Enter DVID'!$A$1:$C$61, 3, FALSE)), "")</f>
        <v>A</v>
      </c>
      <c r="K111" s="34" t="str">
        <f>IFERROR(IF(VLOOKUP($G111, 'Enter DVID'!$A$1:$D$61, 4, FALSE)="", "", VLOOKUP($G111, 'Enter DVID'!$A$1:$D$61, 4, FALSE)), "")</f>
        <v>CMS_LOCATIONID</v>
      </c>
    </row>
    <row r="112" spans="1:12" x14ac:dyDescent="0.25">
      <c r="G112" s="21" t="s">
        <v>243</v>
      </c>
      <c r="H112" s="34" t="str">
        <f>IFERROR(IF(VLOOKUP($G112, 'Enter DVID'!$A$1:$C$61, 2, FALSE)="", "", VLOOKUP($G112, 'Enter DVID'!$A$1:$C$61, 2, FALSE)), "")</f>
        <v>450</v>
      </c>
      <c r="I112" s="34" t="str">
        <f>IFERROR(IF(VLOOKUP($G112, 'Enter DVID'!$A$1:$C$61, 3, FALSE)="", "", VLOOKUP($G112, 'Enter DVID'!$A$1:$C$61, 3, FALSE)), "")</f>
        <v>A</v>
      </c>
      <c r="K112" s="34" t="str">
        <f>IFERROR(IF(VLOOKUP($G112, 'Enter DVID'!$A$1:$D$61, 4, FALSE)="", "", VLOOKUP($G112, 'Enter DVID'!$A$1:$D$61, 4, FALSE)), "")</f>
        <v>CMS_USAGE</v>
      </c>
    </row>
    <row r="114" spans="1:12" ht="16.5" thickBot="1" x14ac:dyDescent="0.3">
      <c r="A114" s="1" t="s">
        <v>14</v>
      </c>
      <c r="B114" s="1" t="s">
        <v>15</v>
      </c>
      <c r="C114" s="3" t="s">
        <v>16</v>
      </c>
      <c r="D114" s="7" t="s">
        <v>122</v>
      </c>
      <c r="E114" s="3" t="s">
        <v>255</v>
      </c>
      <c r="F114" s="15" t="s">
        <v>126</v>
      </c>
      <c r="G114" s="1" t="s">
        <v>123</v>
      </c>
      <c r="H114" s="35" t="s">
        <v>124</v>
      </c>
      <c r="I114" s="35" t="s">
        <v>125</v>
      </c>
      <c r="J114" s="15" t="s">
        <v>100</v>
      </c>
      <c r="K114" s="43" t="s">
        <v>101</v>
      </c>
      <c r="L114" s="15" t="s">
        <v>102</v>
      </c>
    </row>
    <row r="115" spans="1:12" ht="17.25" thickTop="1" thickBot="1" x14ac:dyDescent="0.3">
      <c r="A115" s="4">
        <v>18</v>
      </c>
      <c r="B115" s="2" t="s">
        <v>28</v>
      </c>
      <c r="C115" s="5" t="s">
        <v>47</v>
      </c>
      <c r="D115" s="2" t="s">
        <v>106</v>
      </c>
      <c r="F115" s="62" t="s">
        <v>519</v>
      </c>
      <c r="G115" s="61" t="s">
        <v>20</v>
      </c>
      <c r="H115" s="36" t="str">
        <f>IFERROR(IF(VLOOKUP($G115, 'Enter DVID'!$A$1:$C$61, 2, FALSE)="", "", VLOOKUP($G115, 'Enter DVID'!$A$1:$C$61, 2, FALSE)), "")</f>
        <v>2001</v>
      </c>
      <c r="I115" s="63" t="str">
        <f>IFERROR(IF(VLOOKUP($G115, 'Enter DVID'!$A$1:$C$61, 3, FALSE)="", "", VLOOKUP($G115, 'Enter DVID'!$A$1:$C$61, 3, FALSE)), "")</f>
        <v>U1</v>
      </c>
      <c r="J115" s="62" t="s">
        <v>521</v>
      </c>
      <c r="K115" s="64" t="str">
        <f>IFERROR(IF(VLOOKUP($G115, 'Enter DVID'!$A$1:$D$61, 4, FALSE)="", "", VLOOKUP($G115, 'Enter DVID'!$A$1:$D$61, 4, FALSE)), "")</f>
        <v>PORTID</v>
      </c>
    </row>
    <row r="116" spans="1:12" ht="16.5" thickTop="1" x14ac:dyDescent="0.25">
      <c r="G116" s="19" t="s">
        <v>3</v>
      </c>
      <c r="H116" s="36" t="str">
        <f>IFERROR(IF(VLOOKUP($G116, 'Enter DVID'!$A$1:$C$61, 2, FALSE)="", "", VLOOKUP($G116, 'Enter DVID'!$A$1:$C$61, 2, FALSE)), "")</f>
        <v>2000</v>
      </c>
      <c r="I116" s="36" t="str">
        <f>IFERROR(IF(VLOOKUP($G116, 'Enter DVID'!$A$1:$C$61, 3, FALSE)="", "", VLOOKUP($G116, 'Enter DVID'!$A$1:$C$61, 3, FALSE)), "")</f>
        <v>A</v>
      </c>
      <c r="K116" s="36" t="str">
        <f>IFERROR(IF(VLOOKUP($G116, 'Enter DVID'!$A$1:$D$61, 4, FALSE)="", "", VLOOKUP($G116, 'Enter DVID'!$A$1:$D$61, 4, FALSE)), "")</f>
        <v>CARRIERID</v>
      </c>
    </row>
    <row r="117" spans="1:12" x14ac:dyDescent="0.25">
      <c r="G117" s="21" t="s">
        <v>18</v>
      </c>
      <c r="H117" s="34" t="str">
        <f>IFERROR(IF(VLOOKUP($G117, 'Enter DVID'!$A$1:$C$61, 2, FALSE)="", "", VLOOKUP($G117, 'Enter DVID'!$A$1:$C$61, 2, FALSE)), "")</f>
        <v/>
      </c>
      <c r="I117" s="34" t="str">
        <f>IFERROR(IF(VLOOKUP($G117, 'Enter DVID'!$A$1:$C$61, 3, FALSE)="", "", VLOOKUP($G117, 'Enter DVID'!$A$1:$C$61, 3, FALSE)), "")</f>
        <v/>
      </c>
      <c r="K117" s="34" t="str">
        <f>IFERROR(IF(VLOOKUP($G117, 'Enter DVID'!$A$1:$D$61, 4, FALSE)="", "", VLOOKUP($G117, 'Enter DVID'!$A$1:$D$61, 4, FALSE)), "")</f>
        <v/>
      </c>
    </row>
    <row r="118" spans="1:12" x14ac:dyDescent="0.25">
      <c r="G118" s="21" t="s">
        <v>19</v>
      </c>
      <c r="H118" s="34" t="str">
        <f>IFERROR(IF(VLOOKUP($G118, 'Enter DVID'!$A$1:$C$61, 2, FALSE)="", "", VLOOKUP($G118, 'Enter DVID'!$A$1:$C$61, 2, FALSE)), "")</f>
        <v>3</v>
      </c>
      <c r="I118" s="34" t="str">
        <f>IFERROR(IF(VLOOKUP($G118, 'Enter DVID'!$A$1:$C$61, 3, FALSE)="", "", VLOOKUP($G118, 'Enter DVID'!$A$1:$C$61, 3, FALSE)), "")</f>
        <v>A</v>
      </c>
      <c r="K118" s="34" t="str">
        <f>IFERROR(IF(VLOOKUP($G118, 'Enter DVID'!$A$1:$D$61, 4, FALSE)="", "", VLOOKUP($G118, 'Enter DVID'!$A$1:$D$61, 4, FALSE)), "")</f>
        <v>SYS_CLOCK</v>
      </c>
    </row>
    <row r="119" spans="1:12" x14ac:dyDescent="0.25">
      <c r="G119" s="21" t="s">
        <v>4</v>
      </c>
      <c r="H119" s="34" t="str">
        <f>IFERROR(IF(VLOOKUP($G119, 'Enter DVID'!$A$1:$C$61, 2, FALSE)="", "", VLOOKUP($G119, 'Enter DVID'!$A$1:$C$61, 2, FALSE)), "")</f>
        <v>448</v>
      </c>
      <c r="I119" s="34" t="str">
        <f>IFERROR(IF(VLOOKUP($G119, 'Enter DVID'!$A$1:$C$61, 3, FALSE)="", "", VLOOKUP($G119, 'Enter DVID'!$A$1:$C$61, 3, FALSE)), "")</f>
        <v>A</v>
      </c>
      <c r="K119" s="34" t="str">
        <f>IFERROR(IF(VLOOKUP($G119, 'Enter DVID'!$A$1:$D$61, 4, FALSE)="", "", VLOOKUP($G119, 'Enter DVID'!$A$1:$D$61, 4, FALSE)), "")</f>
        <v>CMS_LOCATIONID</v>
      </c>
    </row>
    <row r="120" spans="1:12" x14ac:dyDescent="0.25">
      <c r="G120" s="21" t="s">
        <v>243</v>
      </c>
      <c r="H120" s="34" t="str">
        <f>IFERROR(IF(VLOOKUP($G120, 'Enter DVID'!$A$1:$C$61, 2, FALSE)="", "", VLOOKUP($G120, 'Enter DVID'!$A$1:$C$61, 2, FALSE)), "")</f>
        <v>450</v>
      </c>
      <c r="I120" s="34" t="str">
        <f>IFERROR(IF(VLOOKUP($G120, 'Enter DVID'!$A$1:$C$61, 3, FALSE)="", "", VLOOKUP($G120, 'Enter DVID'!$A$1:$C$61, 3, FALSE)), "")</f>
        <v>A</v>
      </c>
      <c r="K120" s="34" t="str">
        <f>IFERROR(IF(VLOOKUP($G120, 'Enter DVID'!$A$1:$D$61, 4, FALSE)="", "", VLOOKUP($G120, 'Enter DVID'!$A$1:$D$61, 4, FALSE)), "")</f>
        <v>CMS_USAGE</v>
      </c>
    </row>
    <row r="122" spans="1:12" ht="16.5" thickBot="1" x14ac:dyDescent="0.3">
      <c r="A122" s="1" t="s">
        <v>14</v>
      </c>
      <c r="B122" s="1" t="s">
        <v>15</v>
      </c>
      <c r="C122" s="3" t="s">
        <v>16</v>
      </c>
      <c r="D122" s="7" t="s">
        <v>122</v>
      </c>
      <c r="E122" s="3" t="s">
        <v>255</v>
      </c>
      <c r="F122" s="15" t="s">
        <v>126</v>
      </c>
      <c r="G122" s="1" t="s">
        <v>123</v>
      </c>
      <c r="H122" s="35" t="s">
        <v>124</v>
      </c>
      <c r="I122" s="35" t="s">
        <v>125</v>
      </c>
      <c r="J122" s="15" t="s">
        <v>100</v>
      </c>
      <c r="K122" s="43" t="s">
        <v>101</v>
      </c>
      <c r="L122" s="15" t="s">
        <v>102</v>
      </c>
    </row>
    <row r="123" spans="1:12" ht="17.25" thickTop="1" thickBot="1" x14ac:dyDescent="0.3">
      <c r="A123" s="4">
        <v>19</v>
      </c>
      <c r="B123" s="2" t="s">
        <v>17</v>
      </c>
      <c r="C123" s="2" t="s">
        <v>23</v>
      </c>
      <c r="D123" s="2" t="s">
        <v>78</v>
      </c>
      <c r="F123" s="62" t="s">
        <v>522</v>
      </c>
      <c r="G123" s="61" t="s">
        <v>20</v>
      </c>
      <c r="H123" s="36" t="str">
        <f>IFERROR(IF(VLOOKUP($G123, 'Enter DVID'!$A$1:$C$61, 2, FALSE)="", "", VLOOKUP($G123, 'Enter DVID'!$A$1:$C$61, 2, FALSE)), "")</f>
        <v>2001</v>
      </c>
      <c r="I123" s="63" t="str">
        <f>IFERROR(IF(VLOOKUP($G123, 'Enter DVID'!$A$1:$C$61, 3, FALSE)="", "", VLOOKUP($G123, 'Enter DVID'!$A$1:$C$61, 3, FALSE)), "")</f>
        <v>U1</v>
      </c>
      <c r="J123" s="62" t="s">
        <v>78</v>
      </c>
      <c r="K123" s="64" t="str">
        <f>IFERROR(IF(VLOOKUP($G123, 'Enter DVID'!$A$1:$D$61, 4, FALSE)="", "", VLOOKUP($G123, 'Enter DVID'!$A$1:$D$61, 4, FALSE)), "")</f>
        <v>PORTID</v>
      </c>
    </row>
    <row r="124" spans="1:12" ht="16.5" thickTop="1" x14ac:dyDescent="0.25">
      <c r="G124" s="21" t="s">
        <v>18</v>
      </c>
      <c r="H124" s="34" t="str">
        <f>IFERROR(IF(VLOOKUP($G124, 'Enter DVID'!$A$1:$C$61, 2, FALSE)="", "", VLOOKUP($G124, 'Enter DVID'!$A$1:$C$61, 2, FALSE)), "")</f>
        <v/>
      </c>
      <c r="I124" s="34" t="str">
        <f>IFERROR(IF(VLOOKUP($G124, 'Enter DVID'!$A$1:$C$61, 3, FALSE)="", "", VLOOKUP($G124, 'Enter DVID'!$A$1:$C$61, 3, FALSE)), "")</f>
        <v/>
      </c>
      <c r="K124" s="34" t="str">
        <f>IFERROR(IF(VLOOKUP($G124, 'Enter DVID'!$A$1:$D$61, 4, FALSE)="", "", VLOOKUP($G124, 'Enter DVID'!$A$1:$D$61, 4, FALSE)), "")</f>
        <v/>
      </c>
    </row>
    <row r="125" spans="1:12" x14ac:dyDescent="0.25">
      <c r="G125" s="21" t="s">
        <v>19</v>
      </c>
      <c r="H125" s="34" t="str">
        <f>IFERROR(IF(VLOOKUP($G125, 'Enter DVID'!$A$1:$C$61, 2, FALSE)="", "", VLOOKUP($G125, 'Enter DVID'!$A$1:$C$61, 2, FALSE)), "")</f>
        <v>3</v>
      </c>
      <c r="I125" s="34" t="str">
        <f>IFERROR(IF(VLOOKUP($G125, 'Enter DVID'!$A$1:$C$61, 3, FALSE)="", "", VLOOKUP($G125, 'Enter DVID'!$A$1:$C$61, 3, FALSE)), "")</f>
        <v>A</v>
      </c>
      <c r="K125" s="34" t="str">
        <f>IFERROR(IF(VLOOKUP($G125, 'Enter DVID'!$A$1:$D$61, 4, FALSE)="", "", VLOOKUP($G125, 'Enter DVID'!$A$1:$D$61, 4, FALSE)), "")</f>
        <v>SYS_CLOCK</v>
      </c>
    </row>
    <row r="126" spans="1:12" x14ac:dyDescent="0.25">
      <c r="G126" s="21" t="s">
        <v>4</v>
      </c>
      <c r="H126" s="34" t="str">
        <f>IFERROR(IF(VLOOKUP($G126, 'Enter DVID'!$A$1:$C$61, 2, FALSE)="", "", VLOOKUP($G126, 'Enter DVID'!$A$1:$C$61, 2, FALSE)), "")</f>
        <v>448</v>
      </c>
      <c r="I126" s="34" t="str">
        <f>IFERROR(IF(VLOOKUP($G126, 'Enter DVID'!$A$1:$C$61, 3, FALSE)="", "", VLOOKUP($G126, 'Enter DVID'!$A$1:$C$61, 3, FALSE)), "")</f>
        <v>A</v>
      </c>
      <c r="K126" s="34" t="str">
        <f>IFERROR(IF(VLOOKUP($G126, 'Enter DVID'!$A$1:$D$61, 4, FALSE)="", "", VLOOKUP($G126, 'Enter DVID'!$A$1:$D$61, 4, FALSE)), "")</f>
        <v>CMS_LOCATIONID</v>
      </c>
    </row>
    <row r="128" spans="1:12" ht="16.5" thickBot="1" x14ac:dyDescent="0.3">
      <c r="A128" s="1" t="s">
        <v>14</v>
      </c>
      <c r="B128" s="1" t="s">
        <v>15</v>
      </c>
      <c r="C128" s="3" t="s">
        <v>16</v>
      </c>
      <c r="D128" s="7" t="s">
        <v>122</v>
      </c>
      <c r="E128" s="3" t="s">
        <v>255</v>
      </c>
      <c r="F128" s="15" t="s">
        <v>126</v>
      </c>
      <c r="G128" s="1" t="s">
        <v>123</v>
      </c>
      <c r="H128" s="35" t="s">
        <v>124</v>
      </c>
      <c r="I128" s="35" t="s">
        <v>125</v>
      </c>
      <c r="J128" s="15" t="s">
        <v>100</v>
      </c>
      <c r="K128" s="43" t="s">
        <v>101</v>
      </c>
      <c r="L128" s="15" t="s">
        <v>102</v>
      </c>
    </row>
    <row r="129" spans="1:12" ht="17.25" thickTop="1" thickBot="1" x14ac:dyDescent="0.3">
      <c r="A129" s="4">
        <v>20</v>
      </c>
      <c r="B129" s="2" t="s">
        <v>28</v>
      </c>
      <c r="C129" s="5" t="s">
        <v>48</v>
      </c>
      <c r="D129" s="2" t="s">
        <v>107</v>
      </c>
      <c r="F129" s="62" t="s">
        <v>523</v>
      </c>
      <c r="G129" s="61" t="s">
        <v>20</v>
      </c>
      <c r="H129" s="36" t="str">
        <f>IFERROR(IF(VLOOKUP($G129, 'Enter DVID'!$A$1:$C$61, 2, FALSE)="", "", VLOOKUP($G129, 'Enter DVID'!$A$1:$C$61, 2, FALSE)), "")</f>
        <v>2001</v>
      </c>
      <c r="I129" s="63" t="str">
        <f>IFERROR(IF(VLOOKUP($G129, 'Enter DVID'!$A$1:$C$61, 3, FALSE)="", "", VLOOKUP($G129, 'Enter DVID'!$A$1:$C$61, 3, FALSE)), "")</f>
        <v>U1</v>
      </c>
      <c r="J129" s="62" t="s">
        <v>107</v>
      </c>
      <c r="K129" s="64" t="str">
        <f>IFERROR(IF(VLOOKUP($G129, 'Enter DVID'!$A$1:$D$61, 4, FALSE)="", "", VLOOKUP($G129, 'Enter DVID'!$A$1:$D$61, 4, FALSE)), "")</f>
        <v>PORTID</v>
      </c>
    </row>
    <row r="130" spans="1:12" ht="16.5" thickTop="1" x14ac:dyDescent="0.25">
      <c r="G130" s="19" t="s">
        <v>27</v>
      </c>
      <c r="H130" s="36" t="str">
        <f>IFERROR(IF(VLOOKUP($G130, 'Enter DVID'!$A$1:$C$61, 2, FALSE)="", "", VLOOKUP($G130, 'Enter DVID'!$A$1:$C$61, 2, FALSE)), "")</f>
        <v>2000</v>
      </c>
      <c r="I130" s="36" t="str">
        <f>IFERROR(IF(VLOOKUP($G130, 'Enter DVID'!$A$1:$C$61, 3, FALSE)="", "", VLOOKUP($G130, 'Enter DVID'!$A$1:$C$61, 3, FALSE)), "")</f>
        <v>A</v>
      </c>
      <c r="K130" s="36" t="str">
        <f>IFERROR(IF(VLOOKUP($G130, 'Enter DVID'!$A$1:$D$61, 4, FALSE)="", "", VLOOKUP($G130, 'Enter DVID'!$A$1:$D$61, 4, FALSE)), "")</f>
        <v>CARRIERID</v>
      </c>
    </row>
    <row r="131" spans="1:12" x14ac:dyDescent="0.25">
      <c r="G131" s="19" t="s">
        <v>251</v>
      </c>
      <c r="H131" s="36" t="str">
        <f>IFERROR(IF(VLOOKUP($G131, 'Enter DVID'!$A$1:$C$61, 2, FALSE)="", "", VLOOKUP($G131, 'Enter DVID'!$A$1:$C$61, 2, FALSE)), "")</f>
        <v>448</v>
      </c>
      <c r="I131" s="36" t="str">
        <f>IFERROR(IF(VLOOKUP($G131, 'Enter DVID'!$A$1:$C$61, 3, FALSE)="", "", VLOOKUP($G131, 'Enter DVID'!$A$1:$C$61, 3, FALSE)), "")</f>
        <v>A</v>
      </c>
      <c r="K131" s="36" t="str">
        <f>IFERROR(IF(VLOOKUP($G131, 'Enter DVID'!$A$1:$D$61, 4, FALSE)="", "", VLOOKUP($G131, 'Enter DVID'!$A$1:$D$61, 4, FALSE)), "")</f>
        <v>CMS_LOCATIONID</v>
      </c>
    </row>
    <row r="132" spans="1:12" x14ac:dyDescent="0.25">
      <c r="G132" s="21" t="s">
        <v>18</v>
      </c>
      <c r="H132" s="34" t="str">
        <f>IFERROR(IF(VLOOKUP($G132, 'Enter DVID'!$A$1:$C$61, 2, FALSE)="", "", VLOOKUP($G132, 'Enter DVID'!$A$1:$C$61, 2, FALSE)), "")</f>
        <v/>
      </c>
      <c r="I132" s="34" t="str">
        <f>IFERROR(IF(VLOOKUP($G132, 'Enter DVID'!$A$1:$C$61, 3, FALSE)="", "", VLOOKUP($G132, 'Enter DVID'!$A$1:$C$61, 3, FALSE)), "")</f>
        <v/>
      </c>
      <c r="K132" s="34" t="str">
        <f>IFERROR(IF(VLOOKUP($G132, 'Enter DVID'!$A$1:$D$61, 4, FALSE)="", "", VLOOKUP($G132, 'Enter DVID'!$A$1:$D$61, 4, FALSE)), "")</f>
        <v/>
      </c>
    </row>
    <row r="133" spans="1:12" x14ac:dyDescent="0.25">
      <c r="G133" s="21" t="s">
        <v>19</v>
      </c>
      <c r="H133" s="34" t="str">
        <f>IFERROR(IF(VLOOKUP($G133, 'Enter DVID'!$A$1:$C$61, 2, FALSE)="", "", VLOOKUP($G133, 'Enter DVID'!$A$1:$C$61, 2, FALSE)), "")</f>
        <v>3</v>
      </c>
      <c r="I133" s="34" t="str">
        <f>IFERROR(IF(VLOOKUP($G133, 'Enter DVID'!$A$1:$C$61, 3, FALSE)="", "", VLOOKUP($G133, 'Enter DVID'!$A$1:$C$61, 3, FALSE)), "")</f>
        <v>A</v>
      </c>
      <c r="K133" s="34" t="str">
        <f>IFERROR(IF(VLOOKUP($G133, 'Enter DVID'!$A$1:$D$61, 4, FALSE)="", "", VLOOKUP($G133, 'Enter DVID'!$A$1:$D$61, 4, FALSE)), "")</f>
        <v>SYS_CLOCK</v>
      </c>
    </row>
    <row r="135" spans="1:12" ht="16.5" thickBot="1" x14ac:dyDescent="0.3">
      <c r="A135" s="1" t="s">
        <v>14</v>
      </c>
      <c r="B135" s="1" t="s">
        <v>15</v>
      </c>
      <c r="C135" s="3" t="s">
        <v>16</v>
      </c>
      <c r="D135" s="7" t="s">
        <v>122</v>
      </c>
      <c r="E135" s="3" t="s">
        <v>255</v>
      </c>
      <c r="F135" s="15" t="s">
        <v>126</v>
      </c>
      <c r="G135" s="1" t="s">
        <v>123</v>
      </c>
      <c r="H135" s="35" t="s">
        <v>124</v>
      </c>
      <c r="I135" s="35" t="s">
        <v>125</v>
      </c>
      <c r="J135" s="15" t="s">
        <v>100</v>
      </c>
      <c r="K135" s="43" t="s">
        <v>101</v>
      </c>
      <c r="L135" s="15" t="s">
        <v>102</v>
      </c>
    </row>
    <row r="136" spans="1:12" ht="17.25" thickTop="1" thickBot="1" x14ac:dyDescent="0.3">
      <c r="A136" s="4">
        <v>21</v>
      </c>
      <c r="B136" s="2" t="s">
        <v>17</v>
      </c>
      <c r="C136" s="5" t="s">
        <v>24</v>
      </c>
      <c r="D136" s="2" t="s">
        <v>79</v>
      </c>
      <c r="F136" s="62" t="s">
        <v>524</v>
      </c>
      <c r="G136" s="61" t="s">
        <v>20</v>
      </c>
      <c r="H136" s="36" t="str">
        <f>IFERROR(IF(VLOOKUP($G136, 'Enter DVID'!$A$1:$C$61, 2, FALSE)="", "", VLOOKUP($G136, 'Enter DVID'!$A$1:$C$61, 2, FALSE)), "")</f>
        <v>2001</v>
      </c>
      <c r="I136" s="63" t="str">
        <f>IFERROR(IF(VLOOKUP($G136, 'Enter DVID'!$A$1:$C$61, 3, FALSE)="", "", VLOOKUP($G136, 'Enter DVID'!$A$1:$C$61, 3, FALSE)), "")</f>
        <v>U1</v>
      </c>
      <c r="J136" s="62" t="s">
        <v>526</v>
      </c>
      <c r="K136" s="64" t="str">
        <f>IFERROR(IF(VLOOKUP($G136, 'Enter DVID'!$A$1:$D$61, 4, FALSE)="", "", VLOOKUP($G136, 'Enter DVID'!$A$1:$D$61, 4, FALSE)), "")</f>
        <v>PORTID</v>
      </c>
    </row>
    <row r="137" spans="1:12" ht="16.5" thickTop="1" x14ac:dyDescent="0.25">
      <c r="G137" s="19" t="s">
        <v>27</v>
      </c>
      <c r="H137" s="36" t="str">
        <f>IFERROR(IF(VLOOKUP($G137, 'Enter DVID'!$A$1:$C$61, 2, FALSE)="", "", VLOOKUP($G137, 'Enter DVID'!$A$1:$C$61, 2, FALSE)), "")</f>
        <v>2000</v>
      </c>
      <c r="I137" s="36" t="str">
        <f>IFERROR(IF(VLOOKUP($G137, 'Enter DVID'!$A$1:$C$61, 3, FALSE)="", "", VLOOKUP($G137, 'Enter DVID'!$A$1:$C$61, 3, FALSE)), "")</f>
        <v>A</v>
      </c>
      <c r="K137" s="36" t="str">
        <f>IFERROR(IF(VLOOKUP($G137, 'Enter DVID'!$A$1:$D$61, 4, FALSE)="", "", VLOOKUP($G137, 'Enter DVID'!$A$1:$D$61, 4, FALSE)), "")</f>
        <v>CARRIERID</v>
      </c>
    </row>
    <row r="138" spans="1:12" x14ac:dyDescent="0.25">
      <c r="G138" s="19" t="s">
        <v>128</v>
      </c>
      <c r="H138" s="36" t="str">
        <f>IFERROR(IF(VLOOKUP($G138, 'Enter DVID'!$A$1:$C$61, 2, FALSE)="", "", VLOOKUP($G138, 'Enter DVID'!$A$1:$C$61, 2, FALSE)), "")</f>
        <v>464</v>
      </c>
      <c r="I138" s="36" t="str">
        <f>IFERROR(IF(VLOOKUP($G138, 'Enter DVID'!$A$1:$C$61, 3, FALSE)="", "", VLOOKUP($G138, 'Enter DVID'!$A$1:$C$61, 3, FALSE)), "")</f>
        <v>U1</v>
      </c>
      <c r="K138" s="36" t="str">
        <f>IFERROR(IF(VLOOKUP($G138, 'Enter DVID'!$A$1:$D$61, 4, FALSE)="", "", VLOOKUP($G138, 'Enter DVID'!$A$1:$D$61, 4, FALSE)), "")</f>
        <v>CMS_PORTASSOCIATIONSTATE</v>
      </c>
    </row>
    <row r="139" spans="1:12" x14ac:dyDescent="0.25">
      <c r="G139" s="21" t="s">
        <v>18</v>
      </c>
      <c r="H139" s="34" t="str">
        <f>IFERROR(IF(VLOOKUP($G139, 'Enter DVID'!$A$1:$C$61, 2, FALSE)="", "", VLOOKUP($G139, 'Enter DVID'!$A$1:$C$61, 2, FALSE)), "")</f>
        <v/>
      </c>
      <c r="I139" s="34" t="str">
        <f>IFERROR(IF(VLOOKUP($G139, 'Enter DVID'!$A$1:$C$61, 3, FALSE)="", "", VLOOKUP($G139, 'Enter DVID'!$A$1:$C$61, 3, FALSE)), "")</f>
        <v/>
      </c>
      <c r="K139" s="34" t="str">
        <f>IFERROR(IF(VLOOKUP($G139, 'Enter DVID'!$A$1:$D$61, 4, FALSE)="", "", VLOOKUP($G139, 'Enter DVID'!$A$1:$D$61, 4, FALSE)), "")</f>
        <v/>
      </c>
    </row>
    <row r="140" spans="1:12" x14ac:dyDescent="0.25">
      <c r="G140" s="21" t="s">
        <v>19</v>
      </c>
      <c r="H140" s="34" t="str">
        <f>IFERROR(IF(VLOOKUP($G140, 'Enter DVID'!$A$1:$C$61, 2, FALSE)="", "", VLOOKUP($G140, 'Enter DVID'!$A$1:$C$61, 2, FALSE)), "")</f>
        <v>3</v>
      </c>
      <c r="I140" s="34" t="str">
        <f>IFERROR(IF(VLOOKUP($G140, 'Enter DVID'!$A$1:$C$61, 3, FALSE)="", "", VLOOKUP($G140, 'Enter DVID'!$A$1:$C$61, 3, FALSE)), "")</f>
        <v>A</v>
      </c>
      <c r="K140" s="34" t="str">
        <f>IFERROR(IF(VLOOKUP($G140, 'Enter DVID'!$A$1:$D$61, 4, FALSE)="", "", VLOOKUP($G140, 'Enter DVID'!$A$1:$D$61, 4, FALSE)), "")</f>
        <v>SYS_CLOCK</v>
      </c>
    </row>
    <row r="141" spans="1:12" x14ac:dyDescent="0.25">
      <c r="G141" s="21" t="s">
        <v>6</v>
      </c>
      <c r="H141" s="34" t="str">
        <f>IFERROR(IF(VLOOKUP($G141, 'Enter DVID'!$A$1:$C$61, 2, FALSE)="", "", VLOOKUP($G141, 'Enter DVID'!$A$1:$C$61, 2, FALSE)), "")</f>
        <v>463</v>
      </c>
      <c r="I141" s="34" t="str">
        <f>IFERROR(IF(VLOOKUP($G141, 'Enter DVID'!$A$1:$C$61, 3, FALSE)="", "", VLOOKUP($G141, 'Enter DVID'!$A$1:$C$61, 3, FALSE)), "")</f>
        <v>List</v>
      </c>
      <c r="K141" s="34" t="str">
        <f>IFERROR(IF(VLOOKUP($G141, 'Enter DVID'!$A$1:$D$61, 4, FALSE)="", "", VLOOKUP($G141, 'Enter DVID'!$A$1:$D$61, 4, FALSE)), "")</f>
        <v>CMS_PORTSTATEINFO</v>
      </c>
    </row>
    <row r="143" spans="1:12" ht="16.5" thickBot="1" x14ac:dyDescent="0.3">
      <c r="A143" s="1" t="s">
        <v>14</v>
      </c>
      <c r="B143" s="1" t="s">
        <v>15</v>
      </c>
      <c r="C143" s="3" t="s">
        <v>16</v>
      </c>
      <c r="D143" s="7" t="s">
        <v>122</v>
      </c>
      <c r="E143" s="3" t="s">
        <v>255</v>
      </c>
      <c r="F143" s="15" t="s">
        <v>126</v>
      </c>
      <c r="G143" s="1" t="s">
        <v>123</v>
      </c>
      <c r="H143" s="35" t="s">
        <v>124</v>
      </c>
      <c r="I143" s="35" t="s">
        <v>125</v>
      </c>
      <c r="J143" s="15" t="s">
        <v>100</v>
      </c>
      <c r="K143" s="43" t="s">
        <v>101</v>
      </c>
      <c r="L143" s="15" t="s">
        <v>102</v>
      </c>
    </row>
    <row r="144" spans="1:12" ht="17.25" thickTop="1" thickBot="1" x14ac:dyDescent="0.3">
      <c r="A144" s="4">
        <v>22</v>
      </c>
      <c r="B144" s="2" t="s">
        <v>28</v>
      </c>
      <c r="C144" s="5" t="s">
        <v>31</v>
      </c>
      <c r="D144" s="2" t="s">
        <v>84</v>
      </c>
      <c r="F144" s="62" t="s">
        <v>525</v>
      </c>
      <c r="G144" s="61" t="s">
        <v>20</v>
      </c>
      <c r="H144" s="36" t="str">
        <f>IFERROR(IF(VLOOKUP($G144, 'Enter DVID'!$A$1:$C$61, 2, FALSE)="", "", VLOOKUP($G144, 'Enter DVID'!$A$1:$C$61, 2, FALSE)), "")</f>
        <v>2001</v>
      </c>
      <c r="I144" s="63" t="str">
        <f>IFERROR(IF(VLOOKUP($G144, 'Enter DVID'!$A$1:$C$61, 3, FALSE)="", "", VLOOKUP($G144, 'Enter DVID'!$A$1:$C$61, 3, FALSE)), "")</f>
        <v>U1</v>
      </c>
      <c r="J144" s="62" t="s">
        <v>527</v>
      </c>
      <c r="K144" s="64" t="str">
        <f>IFERROR(IF(VLOOKUP($G144, 'Enter DVID'!$A$1:$D$61, 4, FALSE)="", "", VLOOKUP($G144, 'Enter DVID'!$A$1:$D$61, 4, FALSE)), "")</f>
        <v>PORTID</v>
      </c>
    </row>
    <row r="145" spans="1:12" ht="16.5" thickTop="1" x14ac:dyDescent="0.25">
      <c r="G145" s="19" t="s">
        <v>128</v>
      </c>
      <c r="H145" s="36" t="str">
        <f>IFERROR(IF(VLOOKUP($G145, 'Enter DVID'!$A$1:$C$61, 2, FALSE)="", "", VLOOKUP($G145, 'Enter DVID'!$A$1:$C$61, 2, FALSE)), "")</f>
        <v>464</v>
      </c>
      <c r="I145" s="36" t="str">
        <f>IFERROR(IF(VLOOKUP($G145, 'Enter DVID'!$A$1:$C$61, 3, FALSE)="", "", VLOOKUP($G145, 'Enter DVID'!$A$1:$C$61, 3, FALSE)), "")</f>
        <v>U1</v>
      </c>
      <c r="K145" s="36" t="str">
        <f>IFERROR(IF(VLOOKUP($G145, 'Enter DVID'!$A$1:$D$61, 4, FALSE)="", "", VLOOKUP($G145, 'Enter DVID'!$A$1:$D$61, 4, FALSE)), "")</f>
        <v>CMS_PORTASSOCIATIONSTATE</v>
      </c>
    </row>
    <row r="146" spans="1:12" x14ac:dyDescent="0.25">
      <c r="G146" s="21" t="s">
        <v>18</v>
      </c>
      <c r="H146" s="34" t="str">
        <f>IFERROR(IF(VLOOKUP($G146, 'Enter DVID'!$A$1:$C$61, 2, FALSE)="", "", VLOOKUP($G146, 'Enter DVID'!$A$1:$C$61, 2, FALSE)), "")</f>
        <v/>
      </c>
      <c r="I146" s="34" t="str">
        <f>IFERROR(IF(VLOOKUP($G146, 'Enter DVID'!$A$1:$C$61, 3, FALSE)="", "", VLOOKUP($G146, 'Enter DVID'!$A$1:$C$61, 3, FALSE)), "")</f>
        <v/>
      </c>
      <c r="K146" s="34" t="str">
        <f>IFERROR(IF(VLOOKUP($G146, 'Enter DVID'!$A$1:$D$61, 4, FALSE)="", "", VLOOKUP($G146, 'Enter DVID'!$A$1:$D$61, 4, FALSE)), "")</f>
        <v/>
      </c>
    </row>
    <row r="147" spans="1:12" x14ac:dyDescent="0.25">
      <c r="G147" s="21" t="s">
        <v>19</v>
      </c>
      <c r="H147" s="34" t="str">
        <f>IFERROR(IF(VLOOKUP($G147, 'Enter DVID'!$A$1:$C$61, 2, FALSE)="", "", VLOOKUP($G147, 'Enter DVID'!$A$1:$C$61, 2, FALSE)), "")</f>
        <v>3</v>
      </c>
      <c r="I147" s="34" t="str">
        <f>IFERROR(IF(VLOOKUP($G147, 'Enter DVID'!$A$1:$C$61, 3, FALSE)="", "", VLOOKUP($G147, 'Enter DVID'!$A$1:$C$61, 3, FALSE)), "")</f>
        <v>A</v>
      </c>
      <c r="K147" s="34" t="str">
        <f>IFERROR(IF(VLOOKUP($G147, 'Enter DVID'!$A$1:$D$61, 4, FALSE)="", "", VLOOKUP($G147, 'Enter DVID'!$A$1:$D$61, 4, FALSE)), "")</f>
        <v>SYS_CLOCK</v>
      </c>
    </row>
    <row r="148" spans="1:12" x14ac:dyDescent="0.25">
      <c r="G148" s="21" t="s">
        <v>6</v>
      </c>
      <c r="H148" s="34" t="str">
        <f>IFERROR(IF(VLOOKUP($G148, 'Enter DVID'!$A$1:$C$61, 2, FALSE)="", "", VLOOKUP($G148, 'Enter DVID'!$A$1:$C$61, 2, FALSE)), "")</f>
        <v>463</v>
      </c>
      <c r="I148" s="34" t="str">
        <f>IFERROR(IF(VLOOKUP($G148, 'Enter DVID'!$A$1:$C$61, 3, FALSE)="", "", VLOOKUP($G148, 'Enter DVID'!$A$1:$C$61, 3, FALSE)), "")</f>
        <v>List</v>
      </c>
      <c r="K148" s="34" t="str">
        <f>IFERROR(IF(VLOOKUP($G148, 'Enter DVID'!$A$1:$D$61, 4, FALSE)="", "", VLOOKUP($G148, 'Enter DVID'!$A$1:$D$61, 4, FALSE)), "")</f>
        <v>CMS_PORTSTATEINFO</v>
      </c>
    </row>
    <row r="150" spans="1:12" ht="16.5" thickBot="1" x14ac:dyDescent="0.3">
      <c r="A150" s="1" t="s">
        <v>14</v>
      </c>
      <c r="B150" s="1" t="s">
        <v>15</v>
      </c>
      <c r="C150" s="3" t="s">
        <v>16</v>
      </c>
      <c r="D150" s="7" t="s">
        <v>122</v>
      </c>
      <c r="E150" s="3" t="s">
        <v>255</v>
      </c>
      <c r="F150" s="15" t="s">
        <v>126</v>
      </c>
      <c r="G150" s="1" t="s">
        <v>123</v>
      </c>
      <c r="H150" s="35" t="s">
        <v>124</v>
      </c>
      <c r="I150" s="35" t="s">
        <v>125</v>
      </c>
      <c r="J150" s="15" t="s">
        <v>100</v>
      </c>
      <c r="K150" s="43" t="s">
        <v>101</v>
      </c>
      <c r="L150" s="15" t="s">
        <v>102</v>
      </c>
    </row>
    <row r="151" spans="1:12" ht="17.25" thickTop="1" thickBot="1" x14ac:dyDescent="0.3">
      <c r="A151" s="4">
        <v>23</v>
      </c>
      <c r="B151" s="2" t="s">
        <v>17</v>
      </c>
      <c r="C151" s="2" t="s">
        <v>25</v>
      </c>
      <c r="D151" s="2" t="s">
        <v>105</v>
      </c>
      <c r="E151" s="2" t="s">
        <v>26</v>
      </c>
      <c r="F151" s="62" t="s">
        <v>529</v>
      </c>
      <c r="G151" s="61" t="s">
        <v>20</v>
      </c>
      <c r="H151" s="36" t="str">
        <f>IFERROR(IF(VLOOKUP($G151, 'Enter DVID'!$A$1:$C$61, 2, FALSE)="", "", VLOOKUP($G151, 'Enter DVID'!$A$1:$C$61, 2, FALSE)), "")</f>
        <v>2001</v>
      </c>
      <c r="I151" s="63" t="str">
        <f>IFERROR(IF(VLOOKUP($G151, 'Enter DVID'!$A$1:$C$61, 3, FALSE)="", "", VLOOKUP($G151, 'Enter DVID'!$A$1:$C$61, 3, FALSE)), "")</f>
        <v>U1</v>
      </c>
      <c r="J151" s="62" t="s">
        <v>105</v>
      </c>
      <c r="K151" s="64" t="str">
        <f>IFERROR(IF(VLOOKUP($G151, 'Enter DVID'!$A$1:$D$61, 4, FALSE)="", "", VLOOKUP($G151, 'Enter DVID'!$A$1:$D$61, 4, FALSE)), "")</f>
        <v>PORTID</v>
      </c>
    </row>
    <row r="152" spans="1:12" ht="16.5" thickTop="1" x14ac:dyDescent="0.25">
      <c r="C152" s="2" t="s">
        <v>80</v>
      </c>
      <c r="G152" s="19" t="s">
        <v>27</v>
      </c>
      <c r="H152" s="36" t="str">
        <f>IFERROR(IF(VLOOKUP($G152, 'Enter DVID'!$A$1:$C$61, 2, FALSE)="", "", VLOOKUP($G152, 'Enter DVID'!$A$1:$C$61, 2, FALSE)), "")</f>
        <v>2000</v>
      </c>
      <c r="I152" s="36" t="str">
        <f>IFERROR(IF(VLOOKUP($G152, 'Enter DVID'!$A$1:$C$61, 3, FALSE)="", "", VLOOKUP($G152, 'Enter DVID'!$A$1:$C$61, 3, FALSE)), "")</f>
        <v>A</v>
      </c>
      <c r="K152" s="36" t="str">
        <f>IFERROR(IF(VLOOKUP($G152, 'Enter DVID'!$A$1:$D$61, 4, FALSE)="", "", VLOOKUP($G152, 'Enter DVID'!$A$1:$D$61, 4, FALSE)), "")</f>
        <v>CARRIERID</v>
      </c>
    </row>
    <row r="153" spans="1:12" x14ac:dyDescent="0.25">
      <c r="G153" s="21" t="s">
        <v>18</v>
      </c>
      <c r="H153" s="34" t="str">
        <f>IFERROR(IF(VLOOKUP($G153, 'Enter DVID'!$A$1:$C$61, 2, FALSE)="", "", VLOOKUP($G153, 'Enter DVID'!$A$1:$C$61, 2, FALSE)), "")</f>
        <v/>
      </c>
      <c r="I153" s="34" t="str">
        <f>IFERROR(IF(VLOOKUP($G153, 'Enter DVID'!$A$1:$C$61, 3, FALSE)="", "", VLOOKUP($G153, 'Enter DVID'!$A$1:$C$61, 3, FALSE)), "")</f>
        <v/>
      </c>
      <c r="K153" s="34" t="str">
        <f>IFERROR(IF(VLOOKUP($G153, 'Enter DVID'!$A$1:$D$61, 4, FALSE)="", "", VLOOKUP($G153, 'Enter DVID'!$A$1:$D$61, 4, FALSE)), "")</f>
        <v/>
      </c>
    </row>
    <row r="154" spans="1:12" x14ac:dyDescent="0.25">
      <c r="G154" s="21" t="s">
        <v>19</v>
      </c>
      <c r="H154" s="34" t="str">
        <f>IFERROR(IF(VLOOKUP($G154, 'Enter DVID'!$A$1:$C$61, 2, FALSE)="", "", VLOOKUP($G154, 'Enter DVID'!$A$1:$C$61, 2, FALSE)), "")</f>
        <v>3</v>
      </c>
      <c r="I154" s="34" t="str">
        <f>IFERROR(IF(VLOOKUP($G154, 'Enter DVID'!$A$1:$C$61, 3, FALSE)="", "", VLOOKUP($G154, 'Enter DVID'!$A$1:$C$61, 3, FALSE)), "")</f>
        <v>A</v>
      </c>
      <c r="K154" s="34" t="str">
        <f>IFERROR(IF(VLOOKUP($G154, 'Enter DVID'!$A$1:$D$61, 4, FALSE)="", "", VLOOKUP($G154, 'Enter DVID'!$A$1:$D$61, 4, FALSE)), "")</f>
        <v>SYS_CLOCK</v>
      </c>
    </row>
    <row r="155" spans="1:12" x14ac:dyDescent="0.25">
      <c r="G155" s="21" t="s">
        <v>4</v>
      </c>
      <c r="H155" s="34" t="str">
        <f>IFERROR(IF(VLOOKUP($G155, 'Enter DVID'!$A$1:$C$61, 2, FALSE)="", "", VLOOKUP($G155, 'Enter DVID'!$A$1:$C$61, 2, FALSE)), "")</f>
        <v>448</v>
      </c>
      <c r="I155" s="34" t="str">
        <f>IFERROR(IF(VLOOKUP($G155, 'Enter DVID'!$A$1:$C$61, 3, FALSE)="", "", VLOOKUP($G155, 'Enter DVID'!$A$1:$C$61, 3, FALSE)), "")</f>
        <v>A</v>
      </c>
      <c r="K155" s="34" t="str">
        <f>IFERROR(IF(VLOOKUP($G155, 'Enter DVID'!$A$1:$D$61, 4, FALSE)="", "", VLOOKUP($G155, 'Enter DVID'!$A$1:$D$61, 4, FALSE)), "")</f>
        <v>CMS_LOCATIONID</v>
      </c>
    </row>
    <row r="156" spans="1:12" x14ac:dyDescent="0.25">
      <c r="G156" s="21" t="s">
        <v>7</v>
      </c>
      <c r="H156" s="34" t="str">
        <f>IFERROR(IF(VLOOKUP($G156, 'Enter DVID'!$A$1:$C$61, 2, FALSE)="", "", VLOOKUP($G156, 'Enter DVID'!$A$1:$C$61, 2, FALSE)), "")</f>
        <v>443</v>
      </c>
      <c r="I156" s="34" t="str">
        <f>IFERROR(IF(VLOOKUP($G156, 'Enter DVID'!$A$1:$C$61, 3, FALSE)="", "", VLOOKUP($G156, 'Enter DVID'!$A$1:$C$61, 3, FALSE)), "")</f>
        <v>U1</v>
      </c>
      <c r="K156" s="34" t="str">
        <f>IFERROR(IF(VLOOKUP($G156, 'Enter DVID'!$A$1:$D$61, 4, FALSE)="", "", VLOOKUP($G156, 'Enter DVID'!$A$1:$D$61, 4, FALSE)), "")</f>
        <v>CMS_CARRIERIDSTATUS</v>
      </c>
    </row>
    <row r="157" spans="1:12" x14ac:dyDescent="0.25">
      <c r="G157" s="21" t="s">
        <v>8</v>
      </c>
      <c r="H157" s="34" t="str">
        <f>IFERROR(IF(VLOOKUP($G157, 'Enter DVID'!$A$1:$C$61, 2, FALSE)="", "", VLOOKUP($G157, 'Enter DVID'!$A$1:$C$61, 2, FALSE)), "")</f>
        <v>2003</v>
      </c>
      <c r="I157" s="34" t="str">
        <f>IFERROR(IF(VLOOKUP($G157, 'Enter DVID'!$A$1:$C$61, 3, FALSE)="", "", VLOOKUP($G157, 'Enter DVID'!$A$1:$C$61, 3, FALSE)), "")</f>
        <v>U1</v>
      </c>
      <c r="K157" s="34" t="str">
        <f>IFERROR(IF(VLOOKUP($G157, 'Enter DVID'!$A$1:$D$61, 4, FALSE)="", "", VLOOKUP($G157, 'Enter DVID'!$A$1:$D$61, 4, FALSE)), "")</f>
        <v>SLOTMAPSTATUS</v>
      </c>
    </row>
    <row r="158" spans="1:12" x14ac:dyDescent="0.25">
      <c r="G158" s="21" t="s">
        <v>9</v>
      </c>
      <c r="H158" s="34" t="str">
        <f>IFERROR(IF(VLOOKUP($G158, 'Enter DVID'!$A$1:$C$61, 2, FALSE)="", "", VLOOKUP($G158, 'Enter DVID'!$A$1:$C$61, 2, FALSE)), "")</f>
        <v>444</v>
      </c>
      <c r="I158" s="34" t="str">
        <f>IFERROR(IF(VLOOKUP($G158, 'Enter DVID'!$A$1:$C$61, 3, FALSE)="", "", VLOOKUP($G158, 'Enter DVID'!$A$1:$C$61, 3, FALSE)), "")</f>
        <v>U1</v>
      </c>
      <c r="K158" s="34" t="str">
        <f>IFERROR(IF(VLOOKUP($G158, 'Enter DVID'!$A$1:$D$61, 4, FALSE)="", "", VLOOKUP($G158, 'Enter DVID'!$A$1:$D$61, 4, FALSE)), "")</f>
        <v>CMS_CARRIERACCESSINGSTATUS</v>
      </c>
    </row>
    <row r="159" spans="1:12" x14ac:dyDescent="0.25">
      <c r="G159" s="21" t="s">
        <v>10</v>
      </c>
      <c r="H159" s="34" t="str">
        <f>IFERROR(IF(VLOOKUP($G159, 'Enter DVID'!$A$1:$C$61, 2, FALSE)="", "", VLOOKUP($G159, 'Enter DVID'!$A$1:$C$61, 2, FALSE)), "")</f>
        <v>446</v>
      </c>
      <c r="I159" s="34" t="str">
        <f>IFERROR(IF(VLOOKUP($G159, 'Enter DVID'!$A$1:$C$61, 3, FALSE)="", "", VLOOKUP($G159, 'Enter DVID'!$A$1:$C$61, 3, FALSE)), "")</f>
        <v>List</v>
      </c>
      <c r="K159" s="34" t="str">
        <f>IFERROR(IF(VLOOKUP($G159, 'Enter DVID'!$A$1:$D$61, 4, FALSE)="", "", VLOOKUP($G159, 'Enter DVID'!$A$1:$D$61, 4, FALSE)), "")</f>
        <v>CMS_CONTENTMAP</v>
      </c>
    </row>
    <row r="161" spans="1:12" ht="16.5" thickBot="1" x14ac:dyDescent="0.3">
      <c r="A161" s="1" t="s">
        <v>14</v>
      </c>
      <c r="B161" s="1" t="s">
        <v>15</v>
      </c>
      <c r="C161" s="3" t="s">
        <v>16</v>
      </c>
      <c r="D161" s="7" t="s">
        <v>122</v>
      </c>
      <c r="E161" s="3" t="s">
        <v>255</v>
      </c>
      <c r="F161" s="15" t="s">
        <v>126</v>
      </c>
      <c r="G161" s="1" t="s">
        <v>123</v>
      </c>
      <c r="H161" s="35" t="s">
        <v>124</v>
      </c>
      <c r="I161" s="35" t="s">
        <v>125</v>
      </c>
      <c r="J161" s="15" t="s">
        <v>100</v>
      </c>
      <c r="K161" s="43" t="s">
        <v>101</v>
      </c>
      <c r="L161" s="15" t="s">
        <v>102</v>
      </c>
    </row>
    <row r="162" spans="1:12" ht="17.25" thickTop="1" thickBot="1" x14ac:dyDescent="0.3">
      <c r="A162" s="4">
        <v>24</v>
      </c>
      <c r="B162" s="2" t="s">
        <v>17</v>
      </c>
      <c r="C162" s="6" t="s">
        <v>134</v>
      </c>
      <c r="D162" s="2" t="s">
        <v>133</v>
      </c>
      <c r="E162" s="2" t="s">
        <v>26</v>
      </c>
      <c r="F162" s="62" t="s">
        <v>528</v>
      </c>
      <c r="G162" s="61" t="s">
        <v>20</v>
      </c>
      <c r="H162" s="36" t="str">
        <f>IFERROR(IF(VLOOKUP($G162, 'Enter DVID'!$A$1:$C$61, 2, FALSE)="", "", VLOOKUP($G162, 'Enter DVID'!$A$1:$C$61, 2, FALSE)), "")</f>
        <v>2001</v>
      </c>
      <c r="I162" s="63" t="str">
        <f>IFERROR(IF(VLOOKUP($G162, 'Enter DVID'!$A$1:$C$61, 3, FALSE)="", "", VLOOKUP($G162, 'Enter DVID'!$A$1:$C$61, 3, FALSE)), "")</f>
        <v>U1</v>
      </c>
      <c r="J162" s="62" t="s">
        <v>133</v>
      </c>
      <c r="K162" s="64" t="str">
        <f>IFERROR(IF(VLOOKUP($G162, 'Enter DVID'!$A$1:$D$61, 4, FALSE)="", "", VLOOKUP($G162, 'Enter DVID'!$A$1:$D$61, 4, FALSE)), "")</f>
        <v>PORTID</v>
      </c>
    </row>
    <row r="163" spans="1:12" ht="16.5" thickTop="1" x14ac:dyDescent="0.25">
      <c r="C163" s="2" t="s">
        <v>244</v>
      </c>
      <c r="G163" s="21" t="s">
        <v>18</v>
      </c>
      <c r="H163" s="34" t="str">
        <f>IFERROR(IF(VLOOKUP($G163, 'Enter DVID'!$A$1:$C$61, 2, FALSE)="", "", VLOOKUP($G163, 'Enter DVID'!$A$1:$C$61, 2, FALSE)), "")</f>
        <v/>
      </c>
      <c r="I163" s="34" t="str">
        <f>IFERROR(IF(VLOOKUP($G163, 'Enter DVID'!$A$1:$C$61, 3, FALSE)="", "", VLOOKUP($G163, 'Enter DVID'!$A$1:$C$61, 3, FALSE)), "")</f>
        <v/>
      </c>
      <c r="K163" s="34" t="str">
        <f>IFERROR(IF(VLOOKUP($G163, 'Enter DVID'!$A$1:$D$61, 4, FALSE)="", "", VLOOKUP($G163, 'Enter DVID'!$A$1:$D$61, 4, FALSE)), "")</f>
        <v/>
      </c>
    </row>
    <row r="164" spans="1:12" x14ac:dyDescent="0.25">
      <c r="G164" s="21" t="s">
        <v>19</v>
      </c>
      <c r="H164" s="34" t="str">
        <f>IFERROR(IF(VLOOKUP($G164, 'Enter DVID'!$A$1:$C$61, 2, FALSE)="", "", VLOOKUP($G164, 'Enter DVID'!$A$1:$C$61, 2, FALSE)), "")</f>
        <v>3</v>
      </c>
      <c r="I164" s="34" t="str">
        <f>IFERROR(IF(VLOOKUP($G164, 'Enter DVID'!$A$1:$C$61, 3, FALSE)="", "", VLOOKUP($G164, 'Enter DVID'!$A$1:$C$61, 3, FALSE)), "")</f>
        <v>A</v>
      </c>
      <c r="K164" s="34" t="str">
        <f>IFERROR(IF(VLOOKUP($G164, 'Enter DVID'!$A$1:$D$61, 4, FALSE)="", "", VLOOKUP($G164, 'Enter DVID'!$A$1:$D$61, 4, FALSE)), "")</f>
        <v>SYS_CLOCK</v>
      </c>
    </row>
    <row r="166" spans="1:12" ht="16.5" thickBot="1" x14ac:dyDescent="0.3">
      <c r="A166" s="1" t="s">
        <v>14</v>
      </c>
      <c r="B166" s="1" t="s">
        <v>15</v>
      </c>
      <c r="C166" s="3" t="s">
        <v>16</v>
      </c>
      <c r="D166" s="7" t="s">
        <v>122</v>
      </c>
      <c r="E166" s="3" t="s">
        <v>255</v>
      </c>
      <c r="F166" s="15" t="s">
        <v>126</v>
      </c>
      <c r="G166" s="1" t="s">
        <v>123</v>
      </c>
      <c r="H166" s="35" t="s">
        <v>124</v>
      </c>
      <c r="I166" s="35" t="s">
        <v>125</v>
      </c>
      <c r="J166" s="15" t="s">
        <v>100</v>
      </c>
      <c r="K166" s="43" t="s">
        <v>101</v>
      </c>
      <c r="L166" s="15" t="s">
        <v>102</v>
      </c>
    </row>
    <row r="167" spans="1:12" ht="17.25" thickTop="1" thickBot="1" x14ac:dyDescent="0.3">
      <c r="A167" s="4">
        <v>25</v>
      </c>
      <c r="B167" s="2" t="s">
        <v>28</v>
      </c>
      <c r="C167" s="2" t="s">
        <v>29</v>
      </c>
      <c r="D167" s="2" t="s">
        <v>82</v>
      </c>
      <c r="F167" s="62" t="s">
        <v>531</v>
      </c>
      <c r="G167" s="61" t="s">
        <v>20</v>
      </c>
      <c r="H167" s="36" t="str">
        <f>IFERROR(IF(VLOOKUP($G167, 'Enter DVID'!$A$1:$C$61, 2, FALSE)="", "", VLOOKUP($G167, 'Enter DVID'!$A$1:$C$61, 2, FALSE)), "")</f>
        <v>2001</v>
      </c>
      <c r="I167" s="63" t="str">
        <f>IFERROR(IF(VLOOKUP($G167, 'Enter DVID'!$A$1:$C$61, 3, FALSE)="", "", VLOOKUP($G167, 'Enter DVID'!$A$1:$C$61, 3, FALSE)), "")</f>
        <v>U1</v>
      </c>
      <c r="J167" s="62" t="s">
        <v>532</v>
      </c>
      <c r="K167" s="64" t="str">
        <f>IFERROR(IF(VLOOKUP($G167, 'Enter DVID'!$A$1:$D$61, 4, FALSE)="", "", VLOOKUP($G167, 'Enter DVID'!$A$1:$D$61, 4, FALSE)), "")</f>
        <v>PORTID</v>
      </c>
    </row>
    <row r="168" spans="1:12" ht="16.5" thickTop="1" x14ac:dyDescent="0.25">
      <c r="G168" s="19" t="s">
        <v>27</v>
      </c>
      <c r="H168" s="36" t="str">
        <f>IFERROR(IF(VLOOKUP($G168, 'Enter DVID'!$A$1:$C$61, 2, FALSE)="", "", VLOOKUP($G168, 'Enter DVID'!$A$1:$C$61, 2, FALSE)), "")</f>
        <v>2000</v>
      </c>
      <c r="I168" s="36" t="str">
        <f>IFERROR(IF(VLOOKUP($G168, 'Enter DVID'!$A$1:$C$61, 3, FALSE)="", "", VLOOKUP($G168, 'Enter DVID'!$A$1:$C$61, 3, FALSE)), "")</f>
        <v>A</v>
      </c>
      <c r="K168" s="36" t="str">
        <f>IFERROR(IF(VLOOKUP($G168, 'Enter DVID'!$A$1:$D$61, 4, FALSE)="", "", VLOOKUP($G168, 'Enter DVID'!$A$1:$D$61, 4, FALSE)), "")</f>
        <v>CARRIERID</v>
      </c>
    </row>
    <row r="169" spans="1:12" x14ac:dyDescent="0.25">
      <c r="G169" s="21" t="s">
        <v>18</v>
      </c>
      <c r="H169" s="34" t="str">
        <f>IFERROR(IF(VLOOKUP($G169, 'Enter DVID'!$A$1:$C$61, 2, FALSE)="", "", VLOOKUP($G169, 'Enter DVID'!$A$1:$C$61, 2, FALSE)), "")</f>
        <v/>
      </c>
      <c r="I169" s="34" t="str">
        <f>IFERROR(IF(VLOOKUP($G169, 'Enter DVID'!$A$1:$C$61, 3, FALSE)="", "", VLOOKUP($G169, 'Enter DVID'!$A$1:$C$61, 3, FALSE)), "")</f>
        <v/>
      </c>
      <c r="K169" s="34" t="str">
        <f>IFERROR(IF(VLOOKUP($G169, 'Enter DVID'!$A$1:$D$61, 4, FALSE)="", "", VLOOKUP($G169, 'Enter DVID'!$A$1:$D$61, 4, FALSE)), "")</f>
        <v/>
      </c>
    </row>
    <row r="170" spans="1:12" x14ac:dyDescent="0.25">
      <c r="G170" s="21" t="s">
        <v>19</v>
      </c>
      <c r="H170" s="34" t="str">
        <f>IFERROR(IF(VLOOKUP($G170, 'Enter DVID'!$A$1:$C$61, 2, FALSE)="", "", VLOOKUP($G170, 'Enter DVID'!$A$1:$C$61, 2, FALSE)), "")</f>
        <v>3</v>
      </c>
      <c r="I170" s="34" t="str">
        <f>IFERROR(IF(VLOOKUP($G170, 'Enter DVID'!$A$1:$C$61, 3, FALSE)="", "", VLOOKUP($G170, 'Enter DVID'!$A$1:$C$61, 3, FALSE)), "")</f>
        <v>A</v>
      </c>
      <c r="K170" s="34" t="str">
        <f>IFERROR(IF(VLOOKUP($G170, 'Enter DVID'!$A$1:$D$61, 4, FALSE)="", "", VLOOKUP($G170, 'Enter DVID'!$A$1:$D$61, 4, FALSE)), "")</f>
        <v>SYS_CLOCK</v>
      </c>
    </row>
    <row r="171" spans="1:12" x14ac:dyDescent="0.25">
      <c r="G171" s="21" t="s">
        <v>4</v>
      </c>
      <c r="H171" s="34" t="str">
        <f>IFERROR(IF(VLOOKUP($G171, 'Enter DVID'!$A$1:$C$61, 2, FALSE)="", "", VLOOKUP($G171, 'Enter DVID'!$A$1:$C$61, 2, FALSE)), "")</f>
        <v>448</v>
      </c>
      <c r="I171" s="34" t="str">
        <f>IFERROR(IF(VLOOKUP($G171, 'Enter DVID'!$A$1:$C$61, 3, FALSE)="", "", VLOOKUP($G171, 'Enter DVID'!$A$1:$C$61, 3, FALSE)), "")</f>
        <v>A</v>
      </c>
      <c r="K171" s="34" t="str">
        <f>IFERROR(IF(VLOOKUP($G171, 'Enter DVID'!$A$1:$D$61, 4, FALSE)="", "", VLOOKUP($G171, 'Enter DVID'!$A$1:$D$61, 4, FALSE)), "")</f>
        <v>CMS_LOCATIONID</v>
      </c>
    </row>
    <row r="172" spans="1:12" x14ac:dyDescent="0.25">
      <c r="G172" s="21" t="s">
        <v>7</v>
      </c>
      <c r="H172" s="34" t="str">
        <f>IFERROR(IF(VLOOKUP($G172, 'Enter DVID'!$A$1:$C$61, 2, FALSE)="", "", VLOOKUP($G172, 'Enter DVID'!$A$1:$C$61, 2, FALSE)), "")</f>
        <v>443</v>
      </c>
      <c r="I172" s="34" t="str">
        <f>IFERROR(IF(VLOOKUP($G172, 'Enter DVID'!$A$1:$C$61, 3, FALSE)="", "", VLOOKUP($G172, 'Enter DVID'!$A$1:$C$61, 3, FALSE)), "")</f>
        <v>U1</v>
      </c>
      <c r="K172" s="34" t="str">
        <f>IFERROR(IF(VLOOKUP($G172, 'Enter DVID'!$A$1:$D$61, 4, FALSE)="", "", VLOOKUP($G172, 'Enter DVID'!$A$1:$D$61, 4, FALSE)), "")</f>
        <v>CMS_CARRIERIDSTATUS</v>
      </c>
    </row>
    <row r="173" spans="1:12" x14ac:dyDescent="0.25">
      <c r="G173" s="21" t="s">
        <v>8</v>
      </c>
      <c r="H173" s="34" t="str">
        <f>IFERROR(IF(VLOOKUP($G173, 'Enter DVID'!$A$1:$C$61, 2, FALSE)="", "", VLOOKUP($G173, 'Enter DVID'!$A$1:$C$61, 2, FALSE)), "")</f>
        <v>2003</v>
      </c>
      <c r="I173" s="34" t="str">
        <f>IFERROR(IF(VLOOKUP($G173, 'Enter DVID'!$A$1:$C$61, 3, FALSE)="", "", VLOOKUP($G173, 'Enter DVID'!$A$1:$C$61, 3, FALSE)), "")</f>
        <v>U1</v>
      </c>
      <c r="K173" s="34" t="str">
        <f>IFERROR(IF(VLOOKUP($G173, 'Enter DVID'!$A$1:$D$61, 4, FALSE)="", "", VLOOKUP($G173, 'Enter DVID'!$A$1:$D$61, 4, FALSE)), "")</f>
        <v>SLOTMAPSTATUS</v>
      </c>
    </row>
    <row r="174" spans="1:12" x14ac:dyDescent="0.25">
      <c r="G174" s="21" t="s">
        <v>9</v>
      </c>
      <c r="H174" s="34" t="str">
        <f>IFERROR(IF(VLOOKUP($G174, 'Enter DVID'!$A$1:$C$61, 2, FALSE)="", "", VLOOKUP($G174, 'Enter DVID'!$A$1:$C$61, 2, FALSE)), "")</f>
        <v>444</v>
      </c>
      <c r="I174" s="34" t="str">
        <f>IFERROR(IF(VLOOKUP($G174, 'Enter DVID'!$A$1:$C$61, 3, FALSE)="", "", VLOOKUP($G174, 'Enter DVID'!$A$1:$C$61, 3, FALSE)), "")</f>
        <v>U1</v>
      </c>
      <c r="K174" s="34" t="str">
        <f>IFERROR(IF(VLOOKUP($G174, 'Enter DVID'!$A$1:$D$61, 4, FALSE)="", "", VLOOKUP($G174, 'Enter DVID'!$A$1:$D$61, 4, FALSE)), "")</f>
        <v>CMS_CARRIERACCESSINGSTATUS</v>
      </c>
    </row>
    <row r="175" spans="1:12" x14ac:dyDescent="0.25">
      <c r="G175" s="21" t="s">
        <v>10</v>
      </c>
      <c r="H175" s="34" t="str">
        <f>IFERROR(IF(VLOOKUP($G175, 'Enter DVID'!$A$1:$C$61, 2, FALSE)="", "", VLOOKUP($G175, 'Enter DVID'!$A$1:$C$61, 2, FALSE)), "")</f>
        <v>446</v>
      </c>
      <c r="I175" s="34" t="str">
        <f>IFERROR(IF(VLOOKUP($G175, 'Enter DVID'!$A$1:$C$61, 3, FALSE)="", "", VLOOKUP($G175, 'Enter DVID'!$A$1:$C$61, 3, FALSE)), "")</f>
        <v>List</v>
      </c>
      <c r="K175" s="34" t="str">
        <f>IFERROR(IF(VLOOKUP($G175, 'Enter DVID'!$A$1:$D$61, 4, FALSE)="", "", VLOOKUP($G175, 'Enter DVID'!$A$1:$D$61, 4, FALSE)), "")</f>
        <v>CMS_CONTENTMAP</v>
      </c>
    </row>
    <row r="177" spans="1:12" ht="16.5" thickBot="1" x14ac:dyDescent="0.3">
      <c r="A177" s="1" t="s">
        <v>14</v>
      </c>
      <c r="B177" s="1" t="s">
        <v>15</v>
      </c>
      <c r="C177" s="3" t="s">
        <v>16</v>
      </c>
      <c r="D177" s="7" t="s">
        <v>122</v>
      </c>
      <c r="E177" s="3" t="s">
        <v>255</v>
      </c>
      <c r="F177" s="15" t="s">
        <v>126</v>
      </c>
      <c r="G177" s="1" t="s">
        <v>123</v>
      </c>
      <c r="H177" s="35" t="s">
        <v>124</v>
      </c>
      <c r="I177" s="35" t="s">
        <v>125</v>
      </c>
      <c r="J177" s="15" t="s">
        <v>100</v>
      </c>
      <c r="K177" s="43" t="s">
        <v>101</v>
      </c>
      <c r="L177" s="15" t="s">
        <v>102</v>
      </c>
    </row>
    <row r="178" spans="1:12" ht="17.25" thickTop="1" thickBot="1" x14ac:dyDescent="0.3">
      <c r="A178" s="4">
        <v>26</v>
      </c>
      <c r="B178" s="2" t="s">
        <v>28</v>
      </c>
      <c r="C178" s="2" t="s">
        <v>37</v>
      </c>
      <c r="D178" s="2" t="s">
        <v>38</v>
      </c>
      <c r="E178" s="2" t="s">
        <v>38</v>
      </c>
      <c r="F178" s="62" t="s">
        <v>530</v>
      </c>
      <c r="G178" s="61" t="s">
        <v>20</v>
      </c>
      <c r="H178" s="36" t="str">
        <f>IFERROR(IF(VLOOKUP($G178, 'Enter DVID'!$A$1:$C$61, 2, FALSE)="", "", VLOOKUP($G178, 'Enter DVID'!$A$1:$C$61, 2, FALSE)), "")</f>
        <v>2001</v>
      </c>
      <c r="I178" s="63" t="str">
        <f>IFERROR(IF(VLOOKUP($G178, 'Enter DVID'!$A$1:$C$61, 3, FALSE)="", "", VLOOKUP($G178, 'Enter DVID'!$A$1:$C$61, 3, FALSE)), "")</f>
        <v>U1</v>
      </c>
      <c r="J178" s="62" t="s">
        <v>57</v>
      </c>
      <c r="K178" s="64" t="str">
        <f>IFERROR(IF(VLOOKUP($G178, 'Enter DVID'!$A$1:$D$61, 4, FALSE)="", "", VLOOKUP($G178, 'Enter DVID'!$A$1:$D$61, 4, FALSE)), "")</f>
        <v>PORTID</v>
      </c>
    </row>
    <row r="179" spans="1:12" ht="16.5" thickTop="1" x14ac:dyDescent="0.25">
      <c r="G179" s="19" t="s">
        <v>27</v>
      </c>
      <c r="H179" s="36" t="str">
        <f>IFERROR(IF(VLOOKUP($G179, 'Enter DVID'!$A$1:$C$61, 2, FALSE)="", "", VLOOKUP($G179, 'Enter DVID'!$A$1:$C$61, 2, FALSE)), "")</f>
        <v>2000</v>
      </c>
      <c r="I179" s="36" t="str">
        <f>IFERROR(IF(VLOOKUP($G179, 'Enter DVID'!$A$1:$C$61, 3, FALSE)="", "", VLOOKUP($G179, 'Enter DVID'!$A$1:$C$61, 3, FALSE)), "")</f>
        <v>A</v>
      </c>
      <c r="K179" s="36" t="str">
        <f>IFERROR(IF(VLOOKUP($G179, 'Enter DVID'!$A$1:$D$61, 4, FALSE)="", "", VLOOKUP($G179, 'Enter DVID'!$A$1:$D$61, 4, FALSE)), "")</f>
        <v>CARRIERID</v>
      </c>
    </row>
    <row r="180" spans="1:12" x14ac:dyDescent="0.25">
      <c r="G180" s="19" t="s">
        <v>57</v>
      </c>
      <c r="H180" s="36" t="str">
        <f>IFERROR(IF(VLOOKUP($G180, 'Enter DVID'!$A$1:$C$61, 2, FALSE)="", "", VLOOKUP($G180, 'Enter DVID'!$A$1:$C$61, 2, FALSE)), "")</f>
        <v>2010</v>
      </c>
      <c r="I180" s="36" t="str">
        <f>IFERROR(IF(VLOOKUP($G180, 'Enter DVID'!$A$1:$C$61, 3, FALSE)="", "", VLOOKUP($G180, 'Enter DVID'!$A$1:$C$61, 3, FALSE)), "")</f>
        <v>List</v>
      </c>
      <c r="K180" s="36" t="str">
        <f>IFERROR(IF(VLOOKUP($G180, 'Enter DVID'!$A$1:$D$61, 4, FALSE)="", "", VLOOKUP($G180, 'Enter DVID'!$A$1:$D$61, 4, FALSE)), "")</f>
        <v>SLOTMAP_LIST</v>
      </c>
    </row>
    <row r="181" spans="1:12" x14ac:dyDescent="0.25">
      <c r="G181" s="21" t="s">
        <v>18</v>
      </c>
      <c r="H181" s="34" t="str">
        <f>IFERROR(IF(VLOOKUP($G181, 'Enter DVID'!$A$1:$C$61, 2, FALSE)="", "", VLOOKUP($G181, 'Enter DVID'!$A$1:$C$61, 2, FALSE)), "")</f>
        <v/>
      </c>
      <c r="I181" s="34" t="str">
        <f>IFERROR(IF(VLOOKUP($G181, 'Enter DVID'!$A$1:$C$61, 3, FALSE)="", "", VLOOKUP($G181, 'Enter DVID'!$A$1:$C$61, 3, FALSE)), "")</f>
        <v/>
      </c>
      <c r="K181" s="34" t="str">
        <f>IFERROR(IF(VLOOKUP($G181, 'Enter DVID'!$A$1:$D$61, 4, FALSE)="", "", VLOOKUP($G181, 'Enter DVID'!$A$1:$D$61, 4, FALSE)), "")</f>
        <v/>
      </c>
    </row>
    <row r="182" spans="1:12" x14ac:dyDescent="0.25">
      <c r="G182" s="21" t="s">
        <v>19</v>
      </c>
      <c r="H182" s="34" t="str">
        <f>IFERROR(IF(VLOOKUP($G182, 'Enter DVID'!$A$1:$C$61, 2, FALSE)="", "", VLOOKUP($G182, 'Enter DVID'!$A$1:$C$61, 2, FALSE)), "")</f>
        <v>3</v>
      </c>
      <c r="I182" s="34" t="str">
        <f>IFERROR(IF(VLOOKUP($G182, 'Enter DVID'!$A$1:$C$61, 3, FALSE)="", "", VLOOKUP($G182, 'Enter DVID'!$A$1:$C$61, 3, FALSE)), "")</f>
        <v>A</v>
      </c>
      <c r="K182" s="34" t="str">
        <f>IFERROR(IF(VLOOKUP($G182, 'Enter DVID'!$A$1:$D$61, 4, FALSE)="", "", VLOOKUP($G182, 'Enter DVID'!$A$1:$D$61, 4, FALSE)), "")</f>
        <v>SYS_CLOCK</v>
      </c>
    </row>
    <row r="183" spans="1:12" x14ac:dyDescent="0.25">
      <c r="G183" s="21" t="s">
        <v>8</v>
      </c>
      <c r="H183" s="34" t="str">
        <f>IFERROR(IF(VLOOKUP($G183, 'Enter DVID'!$A$1:$C$61, 2, FALSE)="", "", VLOOKUP($G183, 'Enter DVID'!$A$1:$C$61, 2, FALSE)), "")</f>
        <v>2003</v>
      </c>
      <c r="I183" s="34" t="str">
        <f>IFERROR(IF(VLOOKUP($G183, 'Enter DVID'!$A$1:$C$61, 3, FALSE)="", "", VLOOKUP($G183, 'Enter DVID'!$A$1:$C$61, 3, FALSE)), "")</f>
        <v>U1</v>
      </c>
      <c r="K183" s="34" t="str">
        <f>IFERROR(IF(VLOOKUP($G183, 'Enter DVID'!$A$1:$D$61, 4, FALSE)="", "", VLOOKUP($G183, 'Enter DVID'!$A$1:$D$61, 4, FALSE)), "")</f>
        <v>SLOTMAPSTATUS</v>
      </c>
    </row>
    <row r="184" spans="1:12" x14ac:dyDescent="0.25">
      <c r="G184" s="21" t="s">
        <v>39</v>
      </c>
      <c r="H184" s="34" t="str">
        <f>IFERROR(IF(VLOOKUP($G184, 'Enter DVID'!$A$1:$C$61, 2, FALSE)="", "", VLOOKUP($G184, 'Enter DVID'!$A$1:$C$61, 2, FALSE)), "")</f>
        <v>450</v>
      </c>
      <c r="I184" s="34" t="str">
        <f>IFERROR(IF(VLOOKUP($G184, 'Enter DVID'!$A$1:$C$61, 3, FALSE)="", "", VLOOKUP($G184, 'Enter DVID'!$A$1:$C$61, 3, FALSE)), "")</f>
        <v>A</v>
      </c>
      <c r="K184" s="34" t="str">
        <f>IFERROR(IF(VLOOKUP($G184, 'Enter DVID'!$A$1:$D$61, 4, FALSE)="", "", VLOOKUP($G184, 'Enter DVID'!$A$1:$D$61, 4, FALSE)), "")</f>
        <v>CMS_USAGE</v>
      </c>
    </row>
    <row r="185" spans="1:12" x14ac:dyDescent="0.25">
      <c r="G185" s="21" t="s">
        <v>40</v>
      </c>
      <c r="H185" s="34" t="str">
        <f>IFERROR(IF(VLOOKUP($G185, 'Enter DVID'!$A$1:$C$61, 2, FALSE)="", "", VLOOKUP($G185, 'Enter DVID'!$A$1:$C$61, 2, FALSE)), "")</f>
        <v>445</v>
      </c>
      <c r="I185" s="34" t="str">
        <f>IFERROR(IF(VLOOKUP($G185, 'Enter DVID'!$A$1:$C$61, 3, FALSE)="", "", VLOOKUP($G185, 'Enter DVID'!$A$1:$C$61, 3, FALSE)), "")</f>
        <v>U1</v>
      </c>
      <c r="K185" s="34" t="str">
        <f>IFERROR(IF(VLOOKUP($G185, 'Enter DVID'!$A$1:$D$61, 4, FALSE)="", "", VLOOKUP($G185, 'Enter DVID'!$A$1:$D$61, 4, FALSE)), "")</f>
        <v>CMS_SUBSTRATECOUNT</v>
      </c>
    </row>
    <row r="187" spans="1:12" ht="16.5" thickBot="1" x14ac:dyDescent="0.3">
      <c r="A187" s="1" t="s">
        <v>14</v>
      </c>
      <c r="B187" s="1" t="s">
        <v>15</v>
      </c>
      <c r="C187" s="3" t="s">
        <v>16</v>
      </c>
      <c r="D187" s="7" t="s">
        <v>122</v>
      </c>
      <c r="E187" s="3" t="s">
        <v>255</v>
      </c>
      <c r="F187" s="15" t="s">
        <v>126</v>
      </c>
      <c r="G187" s="1" t="s">
        <v>123</v>
      </c>
      <c r="H187" s="35" t="s">
        <v>124</v>
      </c>
      <c r="I187" s="35" t="s">
        <v>125</v>
      </c>
      <c r="J187" s="15" t="s">
        <v>100</v>
      </c>
      <c r="K187" s="43" t="s">
        <v>101</v>
      </c>
      <c r="L187" s="15" t="s">
        <v>102</v>
      </c>
    </row>
    <row r="188" spans="1:12" ht="17.25" thickTop="1" thickBot="1" x14ac:dyDescent="0.3">
      <c r="A188" s="4">
        <v>27</v>
      </c>
      <c r="B188" s="2" t="s">
        <v>53</v>
      </c>
      <c r="C188" s="2" t="s">
        <v>58</v>
      </c>
      <c r="D188" s="2" t="s">
        <v>83</v>
      </c>
      <c r="F188" s="62" t="s">
        <v>533</v>
      </c>
      <c r="G188" s="61" t="s">
        <v>20</v>
      </c>
      <c r="H188" s="36" t="str">
        <f>IFERROR(IF(VLOOKUP($G188, 'Enter DVID'!$A$1:$C$61, 2, FALSE)="", "", VLOOKUP($G188, 'Enter DVID'!$A$1:$C$61, 2, FALSE)), "")</f>
        <v>2001</v>
      </c>
      <c r="I188" s="63" t="str">
        <f>IFERROR(IF(VLOOKUP($G188, 'Enter DVID'!$A$1:$C$61, 3, FALSE)="", "", VLOOKUP($G188, 'Enter DVID'!$A$1:$C$61, 3, FALSE)), "")</f>
        <v>U1</v>
      </c>
      <c r="J188" s="62" t="s">
        <v>534</v>
      </c>
      <c r="K188" s="64" t="str">
        <f>IFERROR(IF(VLOOKUP($G188, 'Enter DVID'!$A$1:$D$61, 4, FALSE)="", "", VLOOKUP($G188, 'Enter DVID'!$A$1:$D$61, 4, FALSE)), "")</f>
        <v>PORTID</v>
      </c>
    </row>
    <row r="189" spans="1:12" ht="16.5" thickTop="1" x14ac:dyDescent="0.25">
      <c r="G189" s="19" t="s">
        <v>27</v>
      </c>
      <c r="H189" s="36" t="str">
        <f>IFERROR(IF(VLOOKUP($G189, 'Enter DVID'!$A$1:$C$61, 2, FALSE)="", "", VLOOKUP($G189, 'Enter DVID'!$A$1:$C$61, 2, FALSE)), "")</f>
        <v>2000</v>
      </c>
      <c r="I189" s="36" t="str">
        <f>IFERROR(IF(VLOOKUP($G189, 'Enter DVID'!$A$1:$C$61, 3, FALSE)="", "", VLOOKUP($G189, 'Enter DVID'!$A$1:$C$61, 3, FALSE)), "")</f>
        <v>A</v>
      </c>
      <c r="K189" s="36" t="str">
        <f>IFERROR(IF(VLOOKUP($G189, 'Enter DVID'!$A$1:$D$61, 4, FALSE)="", "", VLOOKUP($G189, 'Enter DVID'!$A$1:$D$61, 4, FALSE)), "")</f>
        <v>CARRIERID</v>
      </c>
    </row>
    <row r="190" spans="1:12" x14ac:dyDescent="0.25">
      <c r="G190" s="20" t="s">
        <v>18</v>
      </c>
      <c r="H190" s="34" t="str">
        <f>IFERROR(IF(VLOOKUP($G190, 'Enter DVID'!$A$1:$C$61, 2, FALSE)="", "", VLOOKUP($G190, 'Enter DVID'!$A$1:$C$61, 2, FALSE)), "")</f>
        <v/>
      </c>
      <c r="I190" s="34" t="str">
        <f>IFERROR(IF(VLOOKUP($G190, 'Enter DVID'!$A$1:$C$61, 3, FALSE)="", "", VLOOKUP($G190, 'Enter DVID'!$A$1:$C$61, 3, FALSE)), "")</f>
        <v/>
      </c>
      <c r="K190" s="34" t="str">
        <f>IFERROR(IF(VLOOKUP($G190, 'Enter DVID'!$A$1:$D$61, 4, FALSE)="", "", VLOOKUP($G190, 'Enter DVID'!$A$1:$D$61, 4, FALSE)), "")</f>
        <v/>
      </c>
    </row>
    <row r="191" spans="1:12" x14ac:dyDescent="0.25">
      <c r="G191" s="20" t="s">
        <v>19</v>
      </c>
      <c r="H191" s="34" t="str">
        <f>IFERROR(IF(VLOOKUP($G191, 'Enter DVID'!$A$1:$C$61, 2, FALSE)="", "", VLOOKUP($G191, 'Enter DVID'!$A$1:$C$61, 2, FALSE)), "")</f>
        <v>3</v>
      </c>
      <c r="I191" s="34" t="str">
        <f>IFERROR(IF(VLOOKUP($G191, 'Enter DVID'!$A$1:$C$61, 3, FALSE)="", "", VLOOKUP($G191, 'Enter DVID'!$A$1:$C$61, 3, FALSE)), "")</f>
        <v>A</v>
      </c>
      <c r="K191" s="34" t="str">
        <f>IFERROR(IF(VLOOKUP($G191, 'Enter DVID'!$A$1:$D$61, 4, FALSE)="", "", VLOOKUP($G191, 'Enter DVID'!$A$1:$D$61, 4, FALSE)), "")</f>
        <v>SYS_CLOCK</v>
      </c>
    </row>
    <row r="192" spans="1:12" x14ac:dyDescent="0.25">
      <c r="G192" s="20" t="s">
        <v>56</v>
      </c>
      <c r="H192" s="34" t="str">
        <f>IFERROR(IF(VLOOKUP($G192, 'Enter DVID'!$A$1:$C$61, 2, FALSE)="", "", VLOOKUP($G192, 'Enter DVID'!$A$1:$C$61, 2, FALSE)), "")</f>
        <v>2013</v>
      </c>
      <c r="I192" s="34" t="str">
        <f>IFERROR(IF(VLOOKUP($G192, 'Enter DVID'!$A$1:$C$61, 3, FALSE)="", "", VLOOKUP($G192, 'Enter DVID'!$A$1:$C$61, 3, FALSE)), "")</f>
        <v>U1</v>
      </c>
      <c r="K192" s="34" t="str">
        <f>IFERROR(IF(VLOOKUP($G192, 'Enter DVID'!$A$1:$D$61, 4, FALSE)="", "", VLOOKUP($G192, 'Enter DVID'!$A$1:$D$61, 4, FALSE)), "")</f>
        <v>REASON</v>
      </c>
    </row>
    <row r="193" spans="1:12" x14ac:dyDescent="0.25">
      <c r="G193" s="20" t="s">
        <v>57</v>
      </c>
      <c r="H193" s="34" t="str">
        <f>IFERROR(IF(VLOOKUP($G193, 'Enter DVID'!$A$1:$C$61, 2, FALSE)="", "", VLOOKUP($G193, 'Enter DVID'!$A$1:$C$61, 2, FALSE)), "")</f>
        <v>2010</v>
      </c>
      <c r="I193" s="34" t="str">
        <f>IFERROR(IF(VLOOKUP($G193, 'Enter DVID'!$A$1:$C$61, 3, FALSE)="", "", VLOOKUP($G193, 'Enter DVID'!$A$1:$C$61, 3, FALSE)), "")</f>
        <v>List</v>
      </c>
      <c r="K193" s="34" t="str">
        <f>IFERROR(IF(VLOOKUP($G193, 'Enter DVID'!$A$1:$D$61, 4, FALSE)="", "", VLOOKUP($G193, 'Enter DVID'!$A$1:$D$61, 4, FALSE)), "")</f>
        <v>SLOTMAP_LIST</v>
      </c>
    </row>
    <row r="194" spans="1:12" x14ac:dyDescent="0.25">
      <c r="G194" s="20" t="s">
        <v>4</v>
      </c>
      <c r="H194" s="34" t="str">
        <f>IFERROR(IF(VLOOKUP($G194, 'Enter DVID'!$A$1:$C$61, 2, FALSE)="", "", VLOOKUP($G194, 'Enter DVID'!$A$1:$C$61, 2, FALSE)), "")</f>
        <v>448</v>
      </c>
      <c r="I194" s="34" t="str">
        <f>IFERROR(IF(VLOOKUP($G194, 'Enter DVID'!$A$1:$C$61, 3, FALSE)="", "", VLOOKUP($G194, 'Enter DVID'!$A$1:$C$61, 3, FALSE)), "")</f>
        <v>A</v>
      </c>
      <c r="K194" s="34" t="str">
        <f>IFERROR(IF(VLOOKUP($G194, 'Enter DVID'!$A$1:$D$61, 4, FALSE)="", "", VLOOKUP($G194, 'Enter DVID'!$A$1:$D$61, 4, FALSE)), "")</f>
        <v>CMS_LOCATIONID</v>
      </c>
    </row>
    <row r="195" spans="1:12" x14ac:dyDescent="0.25">
      <c r="G195" s="20" t="s">
        <v>7</v>
      </c>
      <c r="H195" s="34" t="str">
        <f>IFERROR(IF(VLOOKUP($G195, 'Enter DVID'!$A$1:$C$61, 2, FALSE)="", "", VLOOKUP($G195, 'Enter DVID'!$A$1:$C$61, 2, FALSE)), "")</f>
        <v>443</v>
      </c>
      <c r="I195" s="34" t="str">
        <f>IFERROR(IF(VLOOKUP($G195, 'Enter DVID'!$A$1:$C$61, 3, FALSE)="", "", VLOOKUP($G195, 'Enter DVID'!$A$1:$C$61, 3, FALSE)), "")</f>
        <v>U1</v>
      </c>
      <c r="K195" s="34" t="str">
        <f>IFERROR(IF(VLOOKUP($G195, 'Enter DVID'!$A$1:$D$61, 4, FALSE)="", "", VLOOKUP($G195, 'Enter DVID'!$A$1:$D$61, 4, FALSE)), "")</f>
        <v>CMS_CARRIERIDSTATUS</v>
      </c>
    </row>
    <row r="196" spans="1:12" x14ac:dyDescent="0.25">
      <c r="G196" s="20" t="s">
        <v>8</v>
      </c>
      <c r="H196" s="34" t="str">
        <f>IFERROR(IF(VLOOKUP($G196, 'Enter DVID'!$A$1:$C$61, 2, FALSE)="", "", VLOOKUP($G196, 'Enter DVID'!$A$1:$C$61, 2, FALSE)), "")</f>
        <v>2003</v>
      </c>
      <c r="I196" s="34" t="str">
        <f>IFERROR(IF(VLOOKUP($G196, 'Enter DVID'!$A$1:$C$61, 3, FALSE)="", "", VLOOKUP($G196, 'Enter DVID'!$A$1:$C$61, 3, FALSE)), "")</f>
        <v>U1</v>
      </c>
      <c r="K196" s="34" t="str">
        <f>IFERROR(IF(VLOOKUP($G196, 'Enter DVID'!$A$1:$D$61, 4, FALSE)="", "", VLOOKUP($G196, 'Enter DVID'!$A$1:$D$61, 4, FALSE)), "")</f>
        <v>SLOTMAPSTATUS</v>
      </c>
    </row>
    <row r="197" spans="1:12" x14ac:dyDescent="0.25">
      <c r="G197" s="20" t="s">
        <v>9</v>
      </c>
      <c r="H197" s="34" t="str">
        <f>IFERROR(IF(VLOOKUP($G197, 'Enter DVID'!$A$1:$C$61, 2, FALSE)="", "", VLOOKUP($G197, 'Enter DVID'!$A$1:$C$61, 2, FALSE)), "")</f>
        <v>444</v>
      </c>
      <c r="I197" s="34" t="str">
        <f>IFERROR(IF(VLOOKUP($G197, 'Enter DVID'!$A$1:$C$61, 3, FALSE)="", "", VLOOKUP($G197, 'Enter DVID'!$A$1:$C$61, 3, FALSE)), "")</f>
        <v>U1</v>
      </c>
      <c r="K197" s="34" t="str">
        <f>IFERROR(IF(VLOOKUP($G197, 'Enter DVID'!$A$1:$D$61, 4, FALSE)="", "", VLOOKUP($G197, 'Enter DVID'!$A$1:$D$61, 4, FALSE)), "")</f>
        <v>CMS_CARRIERACCESSINGSTATUS</v>
      </c>
    </row>
    <row r="198" spans="1:12" x14ac:dyDescent="0.25">
      <c r="G198" s="20" t="s">
        <v>10</v>
      </c>
      <c r="H198" s="34" t="str">
        <f>IFERROR(IF(VLOOKUP($G198, 'Enter DVID'!$A$1:$C$61, 2, FALSE)="", "", VLOOKUP($G198, 'Enter DVID'!$A$1:$C$61, 2, FALSE)), "")</f>
        <v>446</v>
      </c>
      <c r="I198" s="34" t="str">
        <f>IFERROR(IF(VLOOKUP($G198, 'Enter DVID'!$A$1:$C$61, 3, FALSE)="", "", VLOOKUP($G198, 'Enter DVID'!$A$1:$C$61, 3, FALSE)), "")</f>
        <v>List</v>
      </c>
      <c r="K198" s="34" t="str">
        <f>IFERROR(IF(VLOOKUP($G198, 'Enter DVID'!$A$1:$D$61, 4, FALSE)="", "", VLOOKUP($G198, 'Enter DVID'!$A$1:$D$61, 4, FALSE)), "")</f>
        <v>CMS_CONTENTMAP</v>
      </c>
    </row>
    <row r="200" spans="1:12" ht="16.5" thickBot="1" x14ac:dyDescent="0.3">
      <c r="A200" s="1" t="s">
        <v>14</v>
      </c>
      <c r="B200" s="1" t="s">
        <v>15</v>
      </c>
      <c r="C200" s="3" t="s">
        <v>16</v>
      </c>
      <c r="D200" s="7" t="s">
        <v>122</v>
      </c>
      <c r="E200" s="3" t="s">
        <v>255</v>
      </c>
      <c r="F200" s="15" t="s">
        <v>126</v>
      </c>
      <c r="G200" s="1" t="s">
        <v>123</v>
      </c>
      <c r="H200" s="35" t="s">
        <v>124</v>
      </c>
      <c r="I200" s="35" t="s">
        <v>125</v>
      </c>
      <c r="J200" s="15" t="s">
        <v>100</v>
      </c>
      <c r="K200" s="43" t="s">
        <v>101</v>
      </c>
      <c r="L200" s="15" t="s">
        <v>102</v>
      </c>
    </row>
    <row r="201" spans="1:12" ht="17.25" thickTop="1" thickBot="1" x14ac:dyDescent="0.3">
      <c r="A201" s="4">
        <v>28</v>
      </c>
      <c r="B201" s="2" t="s">
        <v>17</v>
      </c>
      <c r="C201" s="2" t="s">
        <v>114</v>
      </c>
      <c r="D201" s="2" t="s">
        <v>146</v>
      </c>
      <c r="F201" s="62" t="s">
        <v>539</v>
      </c>
      <c r="G201" s="61" t="s">
        <v>1</v>
      </c>
      <c r="H201" s="36" t="str">
        <f>IFERROR(IF(VLOOKUP($G201, 'Enter DVID'!$A$1:$C$61, 2, FALSE)="", "", VLOOKUP($G201, 'Enter DVID'!$A$1:$C$61, 2, FALSE)), "")</f>
        <v>2001</v>
      </c>
      <c r="I201" s="63" t="str">
        <f>IFERROR(IF(VLOOKUP($G201, 'Enter DVID'!$A$1:$C$61, 3, FALSE)="", "", VLOOKUP($G201, 'Enter DVID'!$A$1:$C$61, 3, FALSE)), "")</f>
        <v>U1</v>
      </c>
      <c r="J201" s="62" t="s">
        <v>540</v>
      </c>
      <c r="K201" s="64" t="str">
        <f>IFERROR(IF(VLOOKUP($G201, 'Enter DVID'!$A$1:$D$61, 4, FALSE)="", "", VLOOKUP($G201, 'Enter DVID'!$A$1:$D$61, 4, FALSE)), "")</f>
        <v>PORTID</v>
      </c>
    </row>
    <row r="202" spans="1:12" ht="16.5" thickTop="1" x14ac:dyDescent="0.25">
      <c r="G202" s="19" t="s">
        <v>27</v>
      </c>
      <c r="H202" s="36" t="str">
        <f>IFERROR(IF(VLOOKUP($G202, 'Enter DVID'!$A$1:$C$61, 2, FALSE)="", "", VLOOKUP($G202, 'Enter DVID'!$A$1:$C$61, 2, FALSE)), "")</f>
        <v>2000</v>
      </c>
      <c r="I202" s="36" t="str">
        <f>IFERROR(IF(VLOOKUP($G202, 'Enter DVID'!$A$1:$C$61, 3, FALSE)="", "", VLOOKUP($G202, 'Enter DVID'!$A$1:$C$61, 3, FALSE)), "")</f>
        <v>A</v>
      </c>
      <c r="K202" s="36" t="str">
        <f>IFERROR(IF(VLOOKUP($G202, 'Enter DVID'!$A$1:$D$61, 4, FALSE)="", "", VLOOKUP($G202, 'Enter DVID'!$A$1:$D$61, 4, FALSE)), "")</f>
        <v>CARRIERID</v>
      </c>
    </row>
    <row r="203" spans="1:12" x14ac:dyDescent="0.25">
      <c r="G203" s="21" t="s">
        <v>18</v>
      </c>
      <c r="H203" s="34" t="str">
        <f>IFERROR(IF(VLOOKUP($G203, 'Enter DVID'!$A$1:$C$61, 2, FALSE)="", "", VLOOKUP($G203, 'Enter DVID'!$A$1:$C$61, 2, FALSE)), "")</f>
        <v/>
      </c>
      <c r="I203" s="34" t="str">
        <f>IFERROR(IF(VLOOKUP($G203, 'Enter DVID'!$A$1:$C$61, 3, FALSE)="", "", VLOOKUP($G203, 'Enter DVID'!$A$1:$C$61, 3, FALSE)), "")</f>
        <v/>
      </c>
      <c r="K203" s="34" t="str">
        <f>IFERROR(IF(VLOOKUP($G203, 'Enter DVID'!$A$1:$D$61, 4, FALSE)="", "", VLOOKUP($G203, 'Enter DVID'!$A$1:$D$61, 4, FALSE)), "")</f>
        <v/>
      </c>
    </row>
    <row r="204" spans="1:12" x14ac:dyDescent="0.25">
      <c r="G204" s="21" t="s">
        <v>19</v>
      </c>
      <c r="H204" s="34" t="str">
        <f>IFERROR(IF(VLOOKUP($G204, 'Enter DVID'!$A$1:$C$61, 2, FALSE)="", "", VLOOKUP($G204, 'Enter DVID'!$A$1:$C$61, 2, FALSE)), "")</f>
        <v>3</v>
      </c>
      <c r="I204" s="34" t="str">
        <f>IFERROR(IF(VLOOKUP($G204, 'Enter DVID'!$A$1:$C$61, 3, FALSE)="", "", VLOOKUP($G204, 'Enter DVID'!$A$1:$C$61, 3, FALSE)), "")</f>
        <v>A</v>
      </c>
      <c r="K204" s="34" t="str">
        <f>IFERROR(IF(VLOOKUP($G204, 'Enter DVID'!$A$1:$D$61, 4, FALSE)="", "", VLOOKUP($G204, 'Enter DVID'!$A$1:$D$61, 4, FALSE)), "")</f>
        <v>SYS_CLOCK</v>
      </c>
    </row>
    <row r="205" spans="1:12" x14ac:dyDescent="0.25">
      <c r="G205" s="21" t="s">
        <v>9</v>
      </c>
      <c r="H205" s="34" t="str">
        <f>IFERROR(IF(VLOOKUP($G205, 'Enter DVID'!$A$1:$C$61, 2, FALSE)="", "", VLOOKUP($G205, 'Enter DVID'!$A$1:$C$61, 2, FALSE)), "")</f>
        <v>444</v>
      </c>
      <c r="I205" s="34" t="str">
        <f>IFERROR(IF(VLOOKUP($G205, 'Enter DVID'!$A$1:$C$61, 3, FALSE)="", "", VLOOKUP($G205, 'Enter DVID'!$A$1:$C$61, 3, FALSE)), "")</f>
        <v>U1</v>
      </c>
      <c r="K205" s="34" t="str">
        <f>IFERROR(IF(VLOOKUP($G205, 'Enter DVID'!$A$1:$D$61, 4, FALSE)="", "", VLOOKUP($G205, 'Enter DVID'!$A$1:$D$61, 4, FALSE)), "")</f>
        <v>CMS_CARRIERACCESSINGSTATUS</v>
      </c>
    </row>
    <row r="207" spans="1:12" ht="16.5" thickBot="1" x14ac:dyDescent="0.3">
      <c r="A207" s="1" t="s">
        <v>14</v>
      </c>
      <c r="B207" s="1" t="s">
        <v>15</v>
      </c>
      <c r="C207" s="3" t="s">
        <v>16</v>
      </c>
      <c r="D207" s="7" t="s">
        <v>122</v>
      </c>
      <c r="E207" s="3" t="s">
        <v>255</v>
      </c>
      <c r="F207" s="15" t="s">
        <v>126</v>
      </c>
      <c r="G207" s="1" t="s">
        <v>123</v>
      </c>
      <c r="H207" s="35" t="s">
        <v>124</v>
      </c>
      <c r="I207" s="35" t="s">
        <v>125</v>
      </c>
      <c r="J207" s="15" t="s">
        <v>100</v>
      </c>
      <c r="K207" s="43" t="s">
        <v>101</v>
      </c>
      <c r="L207" s="15" t="s">
        <v>102</v>
      </c>
    </row>
    <row r="208" spans="1:12" ht="17.25" thickTop="1" thickBot="1" x14ac:dyDescent="0.3">
      <c r="A208" s="4">
        <v>29</v>
      </c>
      <c r="B208" s="2" t="s">
        <v>17</v>
      </c>
      <c r="C208" s="2" t="s">
        <v>145</v>
      </c>
      <c r="D208" s="2" t="s">
        <v>147</v>
      </c>
      <c r="F208" s="62" t="s">
        <v>535</v>
      </c>
      <c r="G208" s="61" t="s">
        <v>1</v>
      </c>
      <c r="H208" s="36" t="str">
        <f>IFERROR(IF(VLOOKUP($G208, 'Enter DVID'!$A$1:$C$61, 2, FALSE)="", "", VLOOKUP($G208, 'Enter DVID'!$A$1:$C$61, 2, FALSE)), "")</f>
        <v>2001</v>
      </c>
      <c r="I208" s="63" t="str">
        <f>IFERROR(IF(VLOOKUP($G208, 'Enter DVID'!$A$1:$C$61, 3, FALSE)="", "", VLOOKUP($G208, 'Enter DVID'!$A$1:$C$61, 3, FALSE)), "")</f>
        <v>U1</v>
      </c>
      <c r="J208" s="62" t="s">
        <v>536</v>
      </c>
      <c r="K208" s="64" t="str">
        <f>IFERROR(IF(VLOOKUP($G208, 'Enter DVID'!$A$1:$D$61, 4, FALSE)="", "", VLOOKUP($G208, 'Enter DVID'!$A$1:$D$61, 4, FALSE)), "")</f>
        <v>PORTID</v>
      </c>
    </row>
    <row r="209" spans="1:12" ht="16.5" thickTop="1" x14ac:dyDescent="0.25">
      <c r="G209" s="19" t="s">
        <v>27</v>
      </c>
      <c r="H209" s="36" t="str">
        <f>IFERROR(IF(VLOOKUP($G209, 'Enter DVID'!$A$1:$C$61, 2, FALSE)="", "", VLOOKUP($G209, 'Enter DVID'!$A$1:$C$61, 2, FALSE)), "")</f>
        <v>2000</v>
      </c>
      <c r="I209" s="36" t="str">
        <f>IFERROR(IF(VLOOKUP($G209, 'Enter DVID'!$A$1:$C$61, 3, FALSE)="", "", VLOOKUP($G209, 'Enter DVID'!$A$1:$C$61, 3, FALSE)), "")</f>
        <v>A</v>
      </c>
      <c r="K209" s="36" t="str">
        <f>IFERROR(IF(VLOOKUP($G209, 'Enter DVID'!$A$1:$D$61, 4, FALSE)="", "", VLOOKUP($G209, 'Enter DVID'!$A$1:$D$61, 4, FALSE)), "")</f>
        <v>CARRIERID</v>
      </c>
    </row>
    <row r="210" spans="1:12" x14ac:dyDescent="0.25">
      <c r="G210" s="19" t="s">
        <v>240</v>
      </c>
      <c r="H210" s="36" t="str">
        <f>IFERROR(IF(VLOOKUP($G210, 'Enter DVID'!$A$1:$C$61, 2, FALSE)="", "", VLOOKUP($G210, 'Enter DVID'!$A$1:$C$61, 2, FALSE)), "")</f>
        <v>444</v>
      </c>
      <c r="I210" s="36" t="str">
        <f>IFERROR(IF(VLOOKUP($G210, 'Enter DVID'!$A$1:$C$61, 3, FALSE)="", "", VLOOKUP($G210, 'Enter DVID'!$A$1:$C$61, 3, FALSE)), "")</f>
        <v>U1</v>
      </c>
      <c r="K210" s="36" t="str">
        <f>IFERROR(IF(VLOOKUP($G210, 'Enter DVID'!$A$1:$D$61, 4, FALSE)="", "", VLOOKUP($G210, 'Enter DVID'!$A$1:$D$61, 4, FALSE)), "")</f>
        <v>CMS_CARRIERACCESSINGSTATUS</v>
      </c>
    </row>
    <row r="211" spans="1:12" x14ac:dyDescent="0.25">
      <c r="G211" s="21" t="s">
        <v>18</v>
      </c>
      <c r="H211" s="34" t="str">
        <f>IFERROR(IF(VLOOKUP($G211, 'Enter DVID'!$A$1:$C$61, 2, FALSE)="", "", VLOOKUP($G211, 'Enter DVID'!$A$1:$C$61, 2, FALSE)), "")</f>
        <v/>
      </c>
      <c r="I211" s="34" t="str">
        <f>IFERROR(IF(VLOOKUP($G211, 'Enter DVID'!$A$1:$C$61, 3, FALSE)="", "", VLOOKUP($G211, 'Enter DVID'!$A$1:$C$61, 3, FALSE)), "")</f>
        <v/>
      </c>
      <c r="K211" s="34" t="str">
        <f>IFERROR(IF(VLOOKUP($G211, 'Enter DVID'!$A$1:$D$61, 4, FALSE)="", "", VLOOKUP($G211, 'Enter DVID'!$A$1:$D$61, 4, FALSE)), "")</f>
        <v/>
      </c>
    </row>
    <row r="212" spans="1:12" x14ac:dyDescent="0.25">
      <c r="G212" s="21" t="s">
        <v>19</v>
      </c>
      <c r="H212" s="34" t="str">
        <f>IFERROR(IF(VLOOKUP($G212, 'Enter DVID'!$A$1:$C$61, 2, FALSE)="", "", VLOOKUP($G212, 'Enter DVID'!$A$1:$C$61, 2, FALSE)), "")</f>
        <v>3</v>
      </c>
      <c r="I212" s="34" t="str">
        <f>IFERROR(IF(VLOOKUP($G212, 'Enter DVID'!$A$1:$C$61, 3, FALSE)="", "", VLOOKUP($G212, 'Enter DVID'!$A$1:$C$61, 3, FALSE)), "")</f>
        <v>A</v>
      </c>
      <c r="K212" s="34" t="str">
        <f>IFERROR(IF(VLOOKUP($G212, 'Enter DVID'!$A$1:$D$61, 4, FALSE)="", "", VLOOKUP($G212, 'Enter DVID'!$A$1:$D$61, 4, FALSE)), "")</f>
        <v>SYS_CLOCK</v>
      </c>
    </row>
    <row r="214" spans="1:12" ht="16.5" thickBot="1" x14ac:dyDescent="0.3">
      <c r="A214" s="1" t="s">
        <v>14</v>
      </c>
      <c r="B214" s="1" t="s">
        <v>15</v>
      </c>
      <c r="C214" s="3" t="s">
        <v>16</v>
      </c>
      <c r="D214" s="7" t="s">
        <v>122</v>
      </c>
      <c r="E214" s="3" t="s">
        <v>255</v>
      </c>
      <c r="F214" s="15" t="s">
        <v>126</v>
      </c>
      <c r="G214" s="1" t="s">
        <v>123</v>
      </c>
      <c r="H214" s="35" t="s">
        <v>124</v>
      </c>
      <c r="I214" s="35" t="s">
        <v>125</v>
      </c>
      <c r="J214" s="15" t="s">
        <v>100</v>
      </c>
      <c r="K214" s="43" t="s">
        <v>101</v>
      </c>
      <c r="L214" s="15" t="s">
        <v>102</v>
      </c>
    </row>
    <row r="215" spans="1:12" ht="17.25" thickTop="1" thickBot="1" x14ac:dyDescent="0.3">
      <c r="A215" s="4">
        <v>30</v>
      </c>
      <c r="B215" s="2" t="s">
        <v>17</v>
      </c>
      <c r="C215" s="2" t="s">
        <v>149</v>
      </c>
      <c r="D215" s="2" t="s">
        <v>148</v>
      </c>
      <c r="F215" s="62" t="s">
        <v>537</v>
      </c>
      <c r="G215" s="61" t="s">
        <v>1</v>
      </c>
      <c r="H215" s="36" t="str">
        <f>IFERROR(IF(VLOOKUP($G215, 'Enter DVID'!$A$1:$C$61, 2, FALSE)="", "", VLOOKUP($G215, 'Enter DVID'!$A$1:$C$61, 2, FALSE)), "")</f>
        <v>2001</v>
      </c>
      <c r="I215" s="63" t="str">
        <f>IFERROR(IF(VLOOKUP($G215, 'Enter DVID'!$A$1:$C$61, 3, FALSE)="", "", VLOOKUP($G215, 'Enter DVID'!$A$1:$C$61, 3, FALSE)), "")</f>
        <v>U1</v>
      </c>
      <c r="J215" s="62" t="s">
        <v>538</v>
      </c>
      <c r="K215" s="64" t="str">
        <f>IFERROR(IF(VLOOKUP($G215, 'Enter DVID'!$A$1:$D$61, 4, FALSE)="", "", VLOOKUP($G215, 'Enter DVID'!$A$1:$D$61, 4, FALSE)), "")</f>
        <v>PORTID</v>
      </c>
    </row>
    <row r="216" spans="1:12" ht="16.5" thickTop="1" x14ac:dyDescent="0.25">
      <c r="G216" s="19" t="s">
        <v>27</v>
      </c>
      <c r="H216" s="36" t="str">
        <f>IFERROR(IF(VLOOKUP($G216, 'Enter DVID'!$A$1:$C$61, 2, FALSE)="", "", VLOOKUP($G216, 'Enter DVID'!$A$1:$C$61, 2, FALSE)), "")</f>
        <v>2000</v>
      </c>
      <c r="I216" s="36" t="str">
        <f>IFERROR(IF(VLOOKUP($G216, 'Enter DVID'!$A$1:$C$61, 3, FALSE)="", "", VLOOKUP($G216, 'Enter DVID'!$A$1:$C$61, 3, FALSE)), "")</f>
        <v>A</v>
      </c>
      <c r="K216" s="36" t="str">
        <f>IFERROR(IF(VLOOKUP($G216, 'Enter DVID'!$A$1:$D$61, 4, FALSE)="", "", VLOOKUP($G216, 'Enter DVID'!$A$1:$D$61, 4, FALSE)), "")</f>
        <v>CARRIERID</v>
      </c>
    </row>
    <row r="217" spans="1:12" x14ac:dyDescent="0.25">
      <c r="G217" s="19" t="s">
        <v>240</v>
      </c>
      <c r="H217" s="36" t="str">
        <f>IFERROR(IF(VLOOKUP($G217, 'Enter DVID'!$A$1:$C$61, 2, FALSE)="", "", VLOOKUP($G217, 'Enter DVID'!$A$1:$C$61, 2, FALSE)), "")</f>
        <v>444</v>
      </c>
      <c r="I217" s="36" t="str">
        <f>IFERROR(IF(VLOOKUP($G217, 'Enter DVID'!$A$1:$C$61, 3, FALSE)="", "", VLOOKUP($G217, 'Enter DVID'!$A$1:$C$61, 3, FALSE)), "")</f>
        <v>U1</v>
      </c>
      <c r="K217" s="36" t="str">
        <f>IFERROR(IF(VLOOKUP($G217, 'Enter DVID'!$A$1:$D$61, 4, FALSE)="", "", VLOOKUP($G217, 'Enter DVID'!$A$1:$D$61, 4, FALSE)), "")</f>
        <v>CMS_CARRIERACCESSINGSTATUS</v>
      </c>
    </row>
    <row r="218" spans="1:12" x14ac:dyDescent="0.25">
      <c r="G218" s="21" t="s">
        <v>18</v>
      </c>
      <c r="H218" s="34" t="str">
        <f>IFERROR(IF(VLOOKUP($G218, 'Enter DVID'!$A$1:$C$61, 2, FALSE)="", "", VLOOKUP($G218, 'Enter DVID'!$A$1:$C$61, 2, FALSE)), "")</f>
        <v/>
      </c>
      <c r="I218" s="34" t="str">
        <f>IFERROR(IF(VLOOKUP($G218, 'Enter DVID'!$A$1:$C$61, 3, FALSE)="", "", VLOOKUP($G218, 'Enter DVID'!$A$1:$C$61, 3, FALSE)), "")</f>
        <v/>
      </c>
      <c r="K218" s="34" t="str">
        <f>IFERROR(IF(VLOOKUP($G218, 'Enter DVID'!$A$1:$D$61, 4, FALSE)="", "", VLOOKUP($G218, 'Enter DVID'!$A$1:$D$61, 4, FALSE)), "")</f>
        <v/>
      </c>
    </row>
    <row r="219" spans="1:12" x14ac:dyDescent="0.25">
      <c r="G219" s="21" t="s">
        <v>19</v>
      </c>
      <c r="H219" s="34" t="str">
        <f>IFERROR(IF(VLOOKUP($G219, 'Enter DVID'!$A$1:$C$61, 2, FALSE)="", "", VLOOKUP($G219, 'Enter DVID'!$A$1:$C$61, 2, FALSE)), "")</f>
        <v>3</v>
      </c>
      <c r="I219" s="34" t="str">
        <f>IFERROR(IF(VLOOKUP($G219, 'Enter DVID'!$A$1:$C$61, 3, FALSE)="", "", VLOOKUP($G219, 'Enter DVID'!$A$1:$C$61, 3, FALSE)), "")</f>
        <v>A</v>
      </c>
      <c r="K219" s="34" t="str">
        <f>IFERROR(IF(VLOOKUP($G219, 'Enter DVID'!$A$1:$D$61, 4, FALSE)="", "", VLOOKUP($G219, 'Enter DVID'!$A$1:$D$61, 4, FALSE)), "")</f>
        <v>SYS_CLOCK</v>
      </c>
    </row>
    <row r="221" spans="1:12" ht="16.5" thickBot="1" x14ac:dyDescent="0.3">
      <c r="A221" s="1" t="s">
        <v>14</v>
      </c>
      <c r="B221" s="1" t="s">
        <v>15</v>
      </c>
      <c r="C221" s="3" t="s">
        <v>16</v>
      </c>
      <c r="D221" s="3" t="s">
        <v>122</v>
      </c>
      <c r="E221" s="3" t="s">
        <v>255</v>
      </c>
      <c r="F221" s="15" t="s">
        <v>126</v>
      </c>
      <c r="G221" s="1" t="s">
        <v>123</v>
      </c>
      <c r="H221" s="35" t="s">
        <v>124</v>
      </c>
      <c r="I221" s="35" t="s">
        <v>125</v>
      </c>
      <c r="J221" s="15" t="s">
        <v>100</v>
      </c>
      <c r="K221" s="43" t="s">
        <v>101</v>
      </c>
      <c r="L221" s="15" t="s">
        <v>102</v>
      </c>
    </row>
    <row r="222" spans="1:12" ht="17.25" thickTop="1" thickBot="1" x14ac:dyDescent="0.3">
      <c r="A222" s="4">
        <v>31</v>
      </c>
      <c r="B222" s="2" t="s">
        <v>32</v>
      </c>
      <c r="C222" s="2" t="s">
        <v>33</v>
      </c>
      <c r="D222" s="2" t="s">
        <v>252</v>
      </c>
      <c r="F222" s="62" t="s">
        <v>542</v>
      </c>
      <c r="G222" s="61" t="s">
        <v>273</v>
      </c>
      <c r="H222" s="36" t="str">
        <f>IFERROR(IF(VLOOKUP($G222, 'Enter DVID'!$A$1:$C$61, 2, FALSE)="", "", VLOOKUP($G222, 'Enter DVID'!$A$1:$C$61, 2, FALSE)), "")</f>
        <v>141</v>
      </c>
      <c r="I222" s="63" t="str">
        <f>IFERROR(IF(VLOOKUP($G222, 'Enter DVID'!$A$1:$C$61, 3, FALSE)="", "", VLOOKUP($G222, 'Enter DVID'!$A$1:$C$61, 3, FALSE)), "")</f>
        <v>A</v>
      </c>
      <c r="J222" s="62" t="s">
        <v>541</v>
      </c>
      <c r="K222" s="64" t="str">
        <f>IFERROR(IF(VLOOKUP($G222, 'Enter DVID'!$A$1:$D$61, 4, FALSE)="", "", VLOOKUP($G222, 'Enter DVID'!$A$1:$D$61, 4, FALSE)), "")</f>
        <v>PJ_OBJID</v>
      </c>
    </row>
    <row r="223" spans="1:12" ht="16.5" thickTop="1" x14ac:dyDescent="0.25">
      <c r="C223" s="2" t="s">
        <v>86</v>
      </c>
      <c r="G223" s="19" t="s">
        <v>264</v>
      </c>
      <c r="H223" s="36" t="str">
        <f>IFERROR(IF(VLOOKUP($G223, 'Enter DVID'!$A$1:$C$61, 2, FALSE)="", "", VLOOKUP($G223, 'Enter DVID'!$A$1:$C$61, 2, FALSE)), "")</f>
        <v>143</v>
      </c>
      <c r="I223" s="36" t="str">
        <f>IFERROR(IF(VLOOKUP($G223, 'Enter DVID'!$A$1:$C$61, 3, FALSE)="", "", VLOOKUP($G223, 'Enter DVID'!$A$1:$C$61, 3, FALSE)), "")</f>
        <v>U1</v>
      </c>
      <c r="K223" s="36" t="str">
        <f>IFERROR(IF(VLOOKUP($G223, 'Enter DVID'!$A$1:$D$61, 4, FALSE)="", "", VLOOKUP($G223, 'Enter DVID'!$A$1:$D$61, 4, FALSE)), "")</f>
        <v>PJ_PRJOBSTATE</v>
      </c>
    </row>
    <row r="224" spans="1:12" x14ac:dyDescent="0.25">
      <c r="G224" s="19" t="s">
        <v>271</v>
      </c>
      <c r="H224" s="36" t="str">
        <f>IFERROR(IF(VLOOKUP($G224, 'Enter DVID'!$A$1:$C$61, 2, FALSE)="", "", VLOOKUP($G224, 'Enter DVID'!$A$1:$C$61, 2, FALSE)), "")</f>
        <v>148</v>
      </c>
      <c r="I224" s="36" t="str">
        <f>IFERROR(IF(VLOOKUP($G224, 'Enter DVID'!$A$1:$C$61, 3, FALSE)="", "", VLOOKUP($G224, 'Enter DVID'!$A$1:$C$61, 3, FALSE)), "")</f>
        <v>A</v>
      </c>
      <c r="K224" s="36" t="str">
        <f>IFERROR(IF(VLOOKUP($G224, 'Enter DVID'!$A$1:$D$61, 4, FALSE)="", "", VLOOKUP($G224, 'Enter DVID'!$A$1:$D$61, 4, FALSE)), "")</f>
        <v>PJ_RECID</v>
      </c>
    </row>
    <row r="225" spans="1:12" x14ac:dyDescent="0.25">
      <c r="G225" s="21" t="s">
        <v>275</v>
      </c>
      <c r="H225" s="34" t="str">
        <f>IFERROR(IF(VLOOKUP($G225, 'Enter DVID'!$A$1:$C$61, 2, FALSE)="", "", VLOOKUP($G225, 'Enter DVID'!$A$1:$C$61, 2, FALSE)), "")</f>
        <v>4182</v>
      </c>
      <c r="I225" s="34" t="str">
        <f>IFERROR(IF(VLOOKUP($G225, 'Enter DVID'!$A$1:$C$61, 3, FALSE)="", "", VLOOKUP($G225, 'Enter DVID'!$A$1:$C$61, 3, FALSE)), "")</f>
        <v>A</v>
      </c>
      <c r="K225" s="34" t="str">
        <f>IFERROR(IF(VLOOKUP($G225, 'Enter DVID'!$A$1:$D$61, 4, FALSE)="", "", VLOOKUP($G225, 'Enter DVID'!$A$1:$D$61, 4, FALSE)), "")</f>
        <v>ACTIVE_PRJOB_CARRIERID</v>
      </c>
    </row>
    <row r="226" spans="1:12" x14ac:dyDescent="0.25">
      <c r="G226" s="21" t="s">
        <v>276</v>
      </c>
      <c r="H226" s="34" t="str">
        <f>IFERROR(IF(VLOOKUP($G226, 'Enter DVID'!$A$1:$C$61, 2, FALSE)="", "", VLOOKUP($G226, 'Enter DVID'!$A$1:$C$61, 2, FALSE)), "")</f>
        <v>4181</v>
      </c>
      <c r="I226" s="34" t="str">
        <f>IFERROR(IF(VLOOKUP($G226, 'Enter DVID'!$A$1:$C$61, 3, FALSE)="", "", VLOOKUP($G226, 'Enter DVID'!$A$1:$C$61, 3, FALSE)), "")</f>
        <v>U1</v>
      </c>
      <c r="K226" s="34" t="str">
        <f>IFERROR(IF(VLOOKUP($G226, 'Enter DVID'!$A$1:$D$61, 4, FALSE)="", "", VLOOKUP($G226, 'Enter DVID'!$A$1:$D$61, 4, FALSE)), "")</f>
        <v>ACTIVE_PRJOB_PORTID</v>
      </c>
    </row>
    <row r="227" spans="1:12" x14ac:dyDescent="0.25">
      <c r="G227" s="21" t="s">
        <v>277</v>
      </c>
      <c r="H227" s="34" t="str">
        <f>IFERROR(IF(VLOOKUP($G227, 'Enter DVID'!$A$1:$C$61, 2, FALSE)="", "", VLOOKUP($G227, 'Enter DVID'!$A$1:$C$61, 2, FALSE)), "")</f>
        <v>4184</v>
      </c>
      <c r="I227" s="34" t="str">
        <f>IFERROR(IF(VLOOKUP($G227, 'Enter DVID'!$A$1:$C$61, 3, FALSE)="", "", VLOOKUP($G227, 'Enter DVID'!$A$1:$C$61, 3, FALSE)), "")</f>
        <v>A</v>
      </c>
      <c r="K227" s="34" t="str">
        <f>IFERROR(IF(VLOOKUP($G227, 'Enter DVID'!$A$1:$D$61, 4, FALSE)="", "", VLOOKUP($G227, 'Enter DVID'!$A$1:$D$61, 4, FALSE)), "")</f>
        <v>ACTIVE_PRJOB_LOTID</v>
      </c>
    </row>
    <row r="228" spans="1:12" x14ac:dyDescent="0.25">
      <c r="G228" s="21" t="s">
        <v>268</v>
      </c>
      <c r="H228" s="34" t="str">
        <f>IFERROR(IF(VLOOKUP($G228, 'Enter DVID'!$A$1:$C$61, 2, FALSE)="", "", VLOOKUP($G228, 'Enter DVID'!$A$1:$C$61, 2, FALSE)), "")</f>
        <v>4150</v>
      </c>
      <c r="I228" s="34" t="str">
        <f>IFERROR(IF(VLOOKUP($G228, 'Enter DVID'!$A$1:$C$61, 3, FALSE)="", "", VLOOKUP($G228, 'Enter DVID'!$A$1:$C$61, 3, FALSE)), "")</f>
        <v>List</v>
      </c>
      <c r="K228" s="34" t="str">
        <f>IFERROR(IF(VLOOKUP($G228, 'Enter DVID'!$A$1:$D$61, 4, FALSE)="", "", VLOOKUP($G228, 'Enter DVID'!$A$1:$D$61, 4, FALSE)), "")</f>
        <v>ALLPRJOBSLIST</v>
      </c>
    </row>
    <row r="230" spans="1:12" ht="16.5" thickBot="1" x14ac:dyDescent="0.3">
      <c r="A230" s="1" t="s">
        <v>14</v>
      </c>
      <c r="B230" s="1" t="s">
        <v>15</v>
      </c>
      <c r="C230" s="3" t="s">
        <v>16</v>
      </c>
      <c r="D230" s="3" t="s">
        <v>122</v>
      </c>
      <c r="E230" s="3" t="s">
        <v>255</v>
      </c>
      <c r="F230" s="15" t="s">
        <v>126</v>
      </c>
      <c r="G230" s="1" t="s">
        <v>123</v>
      </c>
      <c r="H230" s="35" t="s">
        <v>124</v>
      </c>
      <c r="I230" s="35" t="s">
        <v>125</v>
      </c>
      <c r="J230" s="15" t="s">
        <v>100</v>
      </c>
      <c r="K230" s="43" t="s">
        <v>101</v>
      </c>
      <c r="L230" s="15" t="s">
        <v>102</v>
      </c>
    </row>
    <row r="231" spans="1:12" ht="17.25" thickTop="1" thickBot="1" x14ac:dyDescent="0.3">
      <c r="A231" s="4">
        <v>32</v>
      </c>
      <c r="B231" s="2" t="s">
        <v>32</v>
      </c>
      <c r="C231" s="2" t="s">
        <v>41</v>
      </c>
      <c r="D231" s="2" t="s">
        <v>253</v>
      </c>
      <c r="F231" s="62" t="s">
        <v>544</v>
      </c>
      <c r="G231" s="61" t="s">
        <v>273</v>
      </c>
      <c r="H231" s="36" t="str">
        <f>IFERROR(IF(VLOOKUP($G231, 'Enter DVID'!$A$1:$C$61, 2, FALSE)="", "", VLOOKUP($G231, 'Enter DVID'!$A$1:$C$61, 2, FALSE)), "")</f>
        <v>141</v>
      </c>
      <c r="I231" s="63" t="str">
        <f>IFERROR(IF(VLOOKUP($G231, 'Enter DVID'!$A$1:$C$61, 3, FALSE)="", "", VLOOKUP($G231, 'Enter DVID'!$A$1:$C$61, 3, FALSE)), "")</f>
        <v>A</v>
      </c>
      <c r="J231" s="62" t="s">
        <v>543</v>
      </c>
      <c r="K231" s="64" t="str">
        <f>IFERROR(IF(VLOOKUP($G231, 'Enter DVID'!$A$1:$D$61, 4, FALSE)="", "", VLOOKUP($G231, 'Enter DVID'!$A$1:$D$61, 4, FALSE)), "")</f>
        <v>PJ_OBJID</v>
      </c>
    </row>
    <row r="232" spans="1:12" ht="16.5" thickTop="1" x14ac:dyDescent="0.25">
      <c r="C232" s="2" t="s">
        <v>89</v>
      </c>
      <c r="G232" s="19" t="s">
        <v>264</v>
      </c>
      <c r="H232" s="36" t="str">
        <f>IFERROR(IF(VLOOKUP($G232, 'Enter DVID'!$A$1:$C$61, 2, FALSE)="", "", VLOOKUP($G232, 'Enter DVID'!$A$1:$C$61, 2, FALSE)), "")</f>
        <v>143</v>
      </c>
      <c r="I232" s="36" t="str">
        <f>IFERROR(IF(VLOOKUP($G232, 'Enter DVID'!$A$1:$C$61, 3, FALSE)="", "", VLOOKUP($G232, 'Enter DVID'!$A$1:$C$61, 3, FALSE)), "")</f>
        <v>U1</v>
      </c>
      <c r="K232" s="36" t="str">
        <f>IFERROR(IF(VLOOKUP($G232, 'Enter DVID'!$A$1:$D$61, 4, FALSE)="", "", VLOOKUP($G232, 'Enter DVID'!$A$1:$D$61, 4, FALSE)), "")</f>
        <v>PJ_PRJOBSTATE</v>
      </c>
    </row>
    <row r="233" spans="1:12" x14ac:dyDescent="0.25">
      <c r="G233" s="19" t="s">
        <v>271</v>
      </c>
      <c r="H233" s="36" t="str">
        <f>IFERROR(IF(VLOOKUP($G233, 'Enter DVID'!$A$1:$C$61, 2, FALSE)="", "", VLOOKUP($G233, 'Enter DVID'!$A$1:$C$61, 2, FALSE)), "")</f>
        <v>148</v>
      </c>
      <c r="I233" s="36" t="str">
        <f>IFERROR(IF(VLOOKUP($G233, 'Enter DVID'!$A$1:$C$61, 3, FALSE)="", "", VLOOKUP($G233, 'Enter DVID'!$A$1:$C$61, 3, FALSE)), "")</f>
        <v>A</v>
      </c>
      <c r="K233" s="36" t="str">
        <f>IFERROR(IF(VLOOKUP($G233, 'Enter DVID'!$A$1:$D$61, 4, FALSE)="", "", VLOOKUP($G233, 'Enter DVID'!$A$1:$D$61, 4, FALSE)), "")</f>
        <v>PJ_RECID</v>
      </c>
    </row>
    <row r="234" spans="1:12" x14ac:dyDescent="0.25">
      <c r="G234" s="21" t="s">
        <v>275</v>
      </c>
      <c r="H234" s="34" t="str">
        <f>IFERROR(IF(VLOOKUP($G234, 'Enter DVID'!$A$1:$C$61, 2, FALSE)="", "", VLOOKUP($G234, 'Enter DVID'!$A$1:$C$61, 2, FALSE)), "")</f>
        <v>4182</v>
      </c>
      <c r="I234" s="34" t="str">
        <f>IFERROR(IF(VLOOKUP($G234, 'Enter DVID'!$A$1:$C$61, 3, FALSE)="", "", VLOOKUP($G234, 'Enter DVID'!$A$1:$C$61, 3, FALSE)), "")</f>
        <v>A</v>
      </c>
      <c r="K234" s="34" t="str">
        <f>IFERROR(IF(VLOOKUP($G234, 'Enter DVID'!$A$1:$D$61, 4, FALSE)="", "", VLOOKUP($G234, 'Enter DVID'!$A$1:$D$61, 4, FALSE)), "")</f>
        <v>ACTIVE_PRJOB_CARRIERID</v>
      </c>
    </row>
    <row r="235" spans="1:12" x14ac:dyDescent="0.25">
      <c r="G235" s="21" t="s">
        <v>276</v>
      </c>
      <c r="H235" s="34" t="str">
        <f>IFERROR(IF(VLOOKUP($G235, 'Enter DVID'!$A$1:$C$61, 2, FALSE)="", "", VLOOKUP($G235, 'Enter DVID'!$A$1:$C$61, 2, FALSE)), "")</f>
        <v>4181</v>
      </c>
      <c r="I235" s="34" t="str">
        <f>IFERROR(IF(VLOOKUP($G235, 'Enter DVID'!$A$1:$C$61, 3, FALSE)="", "", VLOOKUP($G235, 'Enter DVID'!$A$1:$C$61, 3, FALSE)), "")</f>
        <v>U1</v>
      </c>
      <c r="K235" s="34" t="str">
        <f>IFERROR(IF(VLOOKUP($G235, 'Enter DVID'!$A$1:$D$61, 4, FALSE)="", "", VLOOKUP($G235, 'Enter DVID'!$A$1:$D$61, 4, FALSE)), "")</f>
        <v>ACTIVE_PRJOB_PORTID</v>
      </c>
    </row>
    <row r="236" spans="1:12" x14ac:dyDescent="0.25">
      <c r="G236" s="21" t="s">
        <v>277</v>
      </c>
      <c r="H236" s="34" t="str">
        <f>IFERROR(IF(VLOOKUP($G236, 'Enter DVID'!$A$1:$C$61, 2, FALSE)="", "", VLOOKUP($G236, 'Enter DVID'!$A$1:$C$61, 2, FALSE)), "")</f>
        <v>4184</v>
      </c>
      <c r="I236" s="34" t="str">
        <f>IFERROR(IF(VLOOKUP($G236, 'Enter DVID'!$A$1:$C$61, 3, FALSE)="", "", VLOOKUP($G236, 'Enter DVID'!$A$1:$C$61, 3, FALSE)), "")</f>
        <v>A</v>
      </c>
      <c r="K236" s="34" t="str">
        <f>IFERROR(IF(VLOOKUP($G236, 'Enter DVID'!$A$1:$D$61, 4, FALSE)="", "", VLOOKUP($G236, 'Enter DVID'!$A$1:$D$61, 4, FALSE)), "")</f>
        <v>ACTIVE_PRJOB_LOTID</v>
      </c>
    </row>
    <row r="237" spans="1:12" x14ac:dyDescent="0.25">
      <c r="G237" s="21" t="s">
        <v>268</v>
      </c>
      <c r="H237" s="34" t="str">
        <f>IFERROR(IF(VLOOKUP($G237, 'Enter DVID'!$A$1:$C$61, 2, FALSE)="", "", VLOOKUP($G237, 'Enter DVID'!$A$1:$C$61, 2, FALSE)), "")</f>
        <v>4150</v>
      </c>
      <c r="I237" s="34" t="str">
        <f>IFERROR(IF(VLOOKUP($G237, 'Enter DVID'!$A$1:$C$61, 3, FALSE)="", "", VLOOKUP($G237, 'Enter DVID'!$A$1:$C$61, 3, FALSE)), "")</f>
        <v>List</v>
      </c>
      <c r="K237" s="34" t="str">
        <f>IFERROR(IF(VLOOKUP($G237, 'Enter DVID'!$A$1:$D$61, 4, FALSE)="", "", VLOOKUP($G237, 'Enter DVID'!$A$1:$D$61, 4, FALSE)), "")</f>
        <v>ALLPRJOBSLIST</v>
      </c>
    </row>
    <row r="239" spans="1:12" ht="16.5" thickBot="1" x14ac:dyDescent="0.3">
      <c r="A239" s="1" t="s">
        <v>14</v>
      </c>
      <c r="B239" s="1" t="s">
        <v>15</v>
      </c>
      <c r="C239" s="3" t="s">
        <v>16</v>
      </c>
      <c r="D239" s="3" t="s">
        <v>122</v>
      </c>
      <c r="E239" s="3" t="s">
        <v>255</v>
      </c>
      <c r="F239" s="15" t="s">
        <v>126</v>
      </c>
      <c r="G239" s="1" t="s">
        <v>123</v>
      </c>
      <c r="H239" s="35" t="s">
        <v>124</v>
      </c>
      <c r="I239" s="35" t="s">
        <v>125</v>
      </c>
      <c r="J239" s="15" t="s">
        <v>100</v>
      </c>
      <c r="K239" s="43" t="s">
        <v>101</v>
      </c>
      <c r="L239" s="15" t="s">
        <v>102</v>
      </c>
    </row>
    <row r="240" spans="1:12" ht="17.25" thickTop="1" thickBot="1" x14ac:dyDescent="0.3">
      <c r="A240" s="4">
        <v>33</v>
      </c>
      <c r="B240" s="2" t="s">
        <v>32</v>
      </c>
      <c r="C240" s="2" t="s">
        <v>150</v>
      </c>
      <c r="D240" s="2" t="s">
        <v>151</v>
      </c>
      <c r="F240" s="62" t="s">
        <v>546</v>
      </c>
      <c r="G240" s="61" t="s">
        <v>273</v>
      </c>
      <c r="H240" s="36" t="str">
        <f>IFERROR(IF(VLOOKUP($G240, 'Enter DVID'!$A$1:$C$61, 2, FALSE)="", "", VLOOKUP($G240, 'Enter DVID'!$A$1:$C$61, 2, FALSE)), "")</f>
        <v>141</v>
      </c>
      <c r="I240" s="63" t="str">
        <f>IFERROR(IF(VLOOKUP($G240, 'Enter DVID'!$A$1:$C$61, 3, FALSE)="", "", VLOOKUP($G240, 'Enter DVID'!$A$1:$C$61, 3, FALSE)), "")</f>
        <v>A</v>
      </c>
      <c r="J240" s="62" t="s">
        <v>545</v>
      </c>
      <c r="K240" s="64" t="str">
        <f>IFERROR(IF(VLOOKUP($G240, 'Enter DVID'!$A$1:$D$61, 4, FALSE)="", "", VLOOKUP($G240, 'Enter DVID'!$A$1:$D$61, 4, FALSE)), "")</f>
        <v>PJ_OBJID</v>
      </c>
    </row>
    <row r="241" spans="1:12" ht="16.5" thickTop="1" x14ac:dyDescent="0.25">
      <c r="C241" s="2" t="s">
        <v>89</v>
      </c>
      <c r="G241" s="19" t="s">
        <v>264</v>
      </c>
      <c r="H241" s="36" t="str">
        <f>IFERROR(IF(VLOOKUP($G241, 'Enter DVID'!$A$1:$C$61, 2, FALSE)="", "", VLOOKUP($G241, 'Enter DVID'!$A$1:$C$61, 2, FALSE)), "")</f>
        <v>143</v>
      </c>
      <c r="I241" s="36" t="str">
        <f>IFERROR(IF(VLOOKUP($G241, 'Enter DVID'!$A$1:$C$61, 3, FALSE)="", "", VLOOKUP($G241, 'Enter DVID'!$A$1:$C$61, 3, FALSE)), "")</f>
        <v>U1</v>
      </c>
      <c r="K241" s="36" t="str">
        <f>IFERROR(IF(VLOOKUP($G241, 'Enter DVID'!$A$1:$D$61, 4, FALSE)="", "", VLOOKUP($G241, 'Enter DVID'!$A$1:$D$61, 4, FALSE)), "")</f>
        <v>PJ_PRJOBSTATE</v>
      </c>
    </row>
    <row r="242" spans="1:12" x14ac:dyDescent="0.25">
      <c r="G242" s="19" t="s">
        <v>271</v>
      </c>
      <c r="H242" s="36" t="str">
        <f>IFERROR(IF(VLOOKUP($G242, 'Enter DVID'!$A$1:$C$61, 2, FALSE)="", "", VLOOKUP($G242, 'Enter DVID'!$A$1:$C$61, 2, FALSE)), "")</f>
        <v>148</v>
      </c>
      <c r="I242" s="36" t="str">
        <f>IFERROR(IF(VLOOKUP($G242, 'Enter DVID'!$A$1:$C$61, 3, FALSE)="", "", VLOOKUP($G242, 'Enter DVID'!$A$1:$C$61, 3, FALSE)), "")</f>
        <v>A</v>
      </c>
      <c r="K242" s="36" t="str">
        <f>IFERROR(IF(VLOOKUP($G242, 'Enter DVID'!$A$1:$D$61, 4, FALSE)="", "", VLOOKUP($G242, 'Enter DVID'!$A$1:$D$61, 4, FALSE)), "")</f>
        <v>PJ_RECID</v>
      </c>
    </row>
    <row r="243" spans="1:12" x14ac:dyDescent="0.25">
      <c r="G243" s="21" t="s">
        <v>275</v>
      </c>
      <c r="H243" s="34" t="str">
        <f>IFERROR(IF(VLOOKUP($G243, 'Enter DVID'!$A$1:$C$61, 2, FALSE)="", "", VLOOKUP($G243, 'Enter DVID'!$A$1:$C$61, 2, FALSE)), "")</f>
        <v>4182</v>
      </c>
      <c r="I243" s="34" t="str">
        <f>IFERROR(IF(VLOOKUP($G243, 'Enter DVID'!$A$1:$C$61, 3, FALSE)="", "", VLOOKUP($G243, 'Enter DVID'!$A$1:$C$61, 3, FALSE)), "")</f>
        <v>A</v>
      </c>
      <c r="K243" s="34" t="str">
        <f>IFERROR(IF(VLOOKUP($G243, 'Enter DVID'!$A$1:$D$61, 4, FALSE)="", "", VLOOKUP($G243, 'Enter DVID'!$A$1:$D$61, 4, FALSE)), "")</f>
        <v>ACTIVE_PRJOB_CARRIERID</v>
      </c>
    </row>
    <row r="244" spans="1:12" x14ac:dyDescent="0.25">
      <c r="G244" s="21" t="s">
        <v>276</v>
      </c>
      <c r="H244" s="34" t="str">
        <f>IFERROR(IF(VLOOKUP($G244, 'Enter DVID'!$A$1:$C$61, 2, FALSE)="", "", VLOOKUP($G244, 'Enter DVID'!$A$1:$C$61, 2, FALSE)), "")</f>
        <v>4181</v>
      </c>
      <c r="I244" s="34" t="str">
        <f>IFERROR(IF(VLOOKUP($G244, 'Enter DVID'!$A$1:$C$61, 3, FALSE)="", "", VLOOKUP($G244, 'Enter DVID'!$A$1:$C$61, 3, FALSE)), "")</f>
        <v>U1</v>
      </c>
      <c r="K244" s="34" t="str">
        <f>IFERROR(IF(VLOOKUP($G244, 'Enter DVID'!$A$1:$D$61, 4, FALSE)="", "", VLOOKUP($G244, 'Enter DVID'!$A$1:$D$61, 4, FALSE)), "")</f>
        <v>ACTIVE_PRJOB_PORTID</v>
      </c>
    </row>
    <row r="245" spans="1:12" x14ac:dyDescent="0.25">
      <c r="G245" s="21" t="s">
        <v>277</v>
      </c>
      <c r="H245" s="34" t="str">
        <f>IFERROR(IF(VLOOKUP($G245, 'Enter DVID'!$A$1:$C$61, 2, FALSE)="", "", VLOOKUP($G245, 'Enter DVID'!$A$1:$C$61, 2, FALSE)), "")</f>
        <v>4184</v>
      </c>
      <c r="I245" s="34" t="str">
        <f>IFERROR(IF(VLOOKUP($G245, 'Enter DVID'!$A$1:$C$61, 3, FALSE)="", "", VLOOKUP($G245, 'Enter DVID'!$A$1:$C$61, 3, FALSE)), "")</f>
        <v>A</v>
      </c>
      <c r="K245" s="34" t="str">
        <f>IFERROR(IF(VLOOKUP($G245, 'Enter DVID'!$A$1:$D$61, 4, FALSE)="", "", VLOOKUP($G245, 'Enter DVID'!$A$1:$D$61, 4, FALSE)), "")</f>
        <v>ACTIVE_PRJOB_LOTID</v>
      </c>
    </row>
    <row r="246" spans="1:12" x14ac:dyDescent="0.25">
      <c r="G246" s="21" t="s">
        <v>268</v>
      </c>
      <c r="H246" s="34" t="str">
        <f>IFERROR(IF(VLOOKUP($G246, 'Enter DVID'!$A$1:$C$61, 2, FALSE)="", "", VLOOKUP($G246, 'Enter DVID'!$A$1:$C$61, 2, FALSE)), "")</f>
        <v>4150</v>
      </c>
      <c r="I246" s="34" t="str">
        <f>IFERROR(IF(VLOOKUP($G246, 'Enter DVID'!$A$1:$C$61, 3, FALSE)="", "", VLOOKUP($G246, 'Enter DVID'!$A$1:$C$61, 3, FALSE)), "")</f>
        <v>List</v>
      </c>
      <c r="K246" s="34" t="str">
        <f>IFERROR(IF(VLOOKUP($G246, 'Enter DVID'!$A$1:$D$61, 4, FALSE)="", "", VLOOKUP($G246, 'Enter DVID'!$A$1:$D$61, 4, FALSE)), "")</f>
        <v>ALLPRJOBSLIST</v>
      </c>
    </row>
    <row r="248" spans="1:12" ht="16.5" thickBot="1" x14ac:dyDescent="0.3">
      <c r="A248" s="1" t="s">
        <v>14</v>
      </c>
      <c r="B248" s="1" t="s">
        <v>15</v>
      </c>
      <c r="C248" s="3" t="s">
        <v>16</v>
      </c>
      <c r="D248" s="3" t="s">
        <v>122</v>
      </c>
      <c r="E248" s="3" t="s">
        <v>255</v>
      </c>
      <c r="F248" s="15" t="s">
        <v>126</v>
      </c>
      <c r="G248" s="1" t="s">
        <v>123</v>
      </c>
      <c r="H248" s="35" t="s">
        <v>124</v>
      </c>
      <c r="I248" s="35" t="s">
        <v>125</v>
      </c>
      <c r="J248" s="15" t="s">
        <v>100</v>
      </c>
      <c r="K248" s="43" t="s">
        <v>101</v>
      </c>
      <c r="L248" s="15" t="s">
        <v>102</v>
      </c>
    </row>
    <row r="249" spans="1:12" ht="17.25" thickTop="1" thickBot="1" x14ac:dyDescent="0.3">
      <c r="A249" s="4">
        <v>34</v>
      </c>
      <c r="B249" s="2" t="s">
        <v>32</v>
      </c>
      <c r="C249" s="2" t="s">
        <v>152</v>
      </c>
      <c r="D249" s="2" t="s">
        <v>141</v>
      </c>
      <c r="E249" s="2" t="s">
        <v>42</v>
      </c>
      <c r="F249" s="62" t="s">
        <v>548</v>
      </c>
      <c r="G249" s="61" t="s">
        <v>273</v>
      </c>
      <c r="H249" s="36" t="str">
        <f>IFERROR(IF(VLOOKUP($G249, 'Enter DVID'!$A$1:$C$61, 2, FALSE)="", "", VLOOKUP($G249, 'Enter DVID'!$A$1:$C$61, 2, FALSE)), "")</f>
        <v>141</v>
      </c>
      <c r="I249" s="63" t="str">
        <f>IFERROR(IF(VLOOKUP($G249, 'Enter DVID'!$A$1:$C$61, 3, FALSE)="", "", VLOOKUP($G249, 'Enter DVID'!$A$1:$C$61, 3, FALSE)), "")</f>
        <v>A</v>
      </c>
      <c r="J249" s="62" t="s">
        <v>547</v>
      </c>
      <c r="K249" s="64" t="str">
        <f>IFERROR(IF(VLOOKUP($G249, 'Enter DVID'!$A$1:$D$61, 4, FALSE)="", "", VLOOKUP($G249, 'Enter DVID'!$A$1:$D$61, 4, FALSE)), "")</f>
        <v>PJ_OBJID</v>
      </c>
    </row>
    <row r="250" spans="1:12" ht="16.5" thickTop="1" x14ac:dyDescent="0.25">
      <c r="C250" s="2" t="s">
        <v>139</v>
      </c>
      <c r="G250" s="19" t="s">
        <v>264</v>
      </c>
      <c r="H250" s="36" t="str">
        <f>IFERROR(IF(VLOOKUP($G250, 'Enter DVID'!$A$1:$C$61, 2, FALSE)="", "", VLOOKUP($G250, 'Enter DVID'!$A$1:$C$61, 2, FALSE)), "")</f>
        <v>143</v>
      </c>
      <c r="I250" s="36" t="str">
        <f>IFERROR(IF(VLOOKUP($G250, 'Enter DVID'!$A$1:$C$61, 3, FALSE)="", "", VLOOKUP($G250, 'Enter DVID'!$A$1:$C$61, 3, FALSE)), "")</f>
        <v>U1</v>
      </c>
      <c r="K250" s="36" t="str">
        <f>IFERROR(IF(VLOOKUP($G250, 'Enter DVID'!$A$1:$D$61, 4, FALSE)="", "", VLOOKUP($G250, 'Enter DVID'!$A$1:$D$61, 4, FALSE)), "")</f>
        <v>PJ_PRJOBSTATE</v>
      </c>
    </row>
    <row r="251" spans="1:12" x14ac:dyDescent="0.25">
      <c r="G251" s="19" t="s">
        <v>271</v>
      </c>
      <c r="H251" s="36" t="str">
        <f>IFERROR(IF(VLOOKUP($G251, 'Enter DVID'!$A$1:$C$61, 2, FALSE)="", "", VLOOKUP($G251, 'Enter DVID'!$A$1:$C$61, 2, FALSE)), "")</f>
        <v>148</v>
      </c>
      <c r="I251" s="36" t="str">
        <f>IFERROR(IF(VLOOKUP($G251, 'Enter DVID'!$A$1:$C$61, 3, FALSE)="", "", VLOOKUP($G251, 'Enter DVID'!$A$1:$C$61, 3, FALSE)), "")</f>
        <v>A</v>
      </c>
      <c r="K251" s="36" t="str">
        <f>IFERROR(IF(VLOOKUP($G251, 'Enter DVID'!$A$1:$D$61, 4, FALSE)="", "", VLOOKUP($G251, 'Enter DVID'!$A$1:$D$61, 4, FALSE)), "")</f>
        <v>PJ_RECID</v>
      </c>
    </row>
    <row r="252" spans="1:12" x14ac:dyDescent="0.25">
      <c r="G252" s="20" t="s">
        <v>274</v>
      </c>
      <c r="H252" s="34" t="str">
        <f>IFERROR(IF(VLOOKUP($G252, 'Enter DVID'!$A$1:$C$61, 2, FALSE)="", "", VLOOKUP($G252, 'Enter DVID'!$A$1:$C$61, 2, FALSE)), "")</f>
        <v>149</v>
      </c>
      <c r="I252" s="34" t="str">
        <f>IFERROR(IF(VLOOKUP($G252, 'Enter DVID'!$A$1:$C$61, 3, FALSE)="", "", VLOOKUP($G252, 'Enter DVID'!$A$1:$C$61, 3, FALSE)), "")</f>
        <v>List</v>
      </c>
      <c r="K252" s="34" t="str">
        <f>IFERROR(IF(VLOOKUP($G252, 'Enter DVID'!$A$1:$D$61, 4, FALSE)="", "", VLOOKUP($G252, 'Enter DVID'!$A$1:$D$61, 4, FALSE)), "")</f>
        <v>PJ_RECVARIABLELIST</v>
      </c>
    </row>
    <row r="253" spans="1:12" x14ac:dyDescent="0.25">
      <c r="G253" s="20" t="s">
        <v>270</v>
      </c>
      <c r="H253" s="34" t="str">
        <f>IFERROR(IF(VLOOKUP($G253, 'Enter DVID'!$A$1:$C$61, 2, FALSE)="", "", VLOOKUP($G253, 'Enter DVID'!$A$1:$C$61, 2, FALSE)), "")</f>
        <v>4185</v>
      </c>
      <c r="I253" s="34" t="str">
        <f>IFERROR(IF(VLOOKUP($G253, 'Enter DVID'!$A$1:$C$61, 3, FALSE)="", "", VLOOKUP($G253, 'Enter DVID'!$A$1:$C$61, 3, FALSE)), "")</f>
        <v>A</v>
      </c>
      <c r="K253" s="34" t="str">
        <f>IFERROR(IF(VLOOKUP($G253, 'Enter DVID'!$A$1:$D$61, 4, FALSE)="", "", VLOOKUP($G253, 'Enter DVID'!$A$1:$D$61, 4, FALSE)), "")</f>
        <v>ACTIVE_CONTROLJOBID</v>
      </c>
    </row>
    <row r="254" spans="1:12" x14ac:dyDescent="0.25">
      <c r="G254" s="20" t="s">
        <v>275</v>
      </c>
      <c r="H254" s="34" t="str">
        <f>IFERROR(IF(VLOOKUP($G254, 'Enter DVID'!$A$1:$C$61, 2, FALSE)="", "", VLOOKUP($G254, 'Enter DVID'!$A$1:$C$61, 2, FALSE)), "")</f>
        <v>4182</v>
      </c>
      <c r="I254" s="34" t="str">
        <f>IFERROR(IF(VLOOKUP($G254, 'Enter DVID'!$A$1:$C$61, 3, FALSE)="", "", VLOOKUP($G254, 'Enter DVID'!$A$1:$C$61, 3, FALSE)), "")</f>
        <v>A</v>
      </c>
      <c r="K254" s="34" t="str">
        <f>IFERROR(IF(VLOOKUP($G254, 'Enter DVID'!$A$1:$D$61, 4, FALSE)="", "", VLOOKUP($G254, 'Enter DVID'!$A$1:$D$61, 4, FALSE)), "")</f>
        <v>ACTIVE_PRJOB_CARRIERID</v>
      </c>
    </row>
    <row r="255" spans="1:12" x14ac:dyDescent="0.25">
      <c r="G255" s="20" t="s">
        <v>276</v>
      </c>
      <c r="H255" s="34" t="str">
        <f>IFERROR(IF(VLOOKUP($G255, 'Enter DVID'!$A$1:$C$61, 2, FALSE)="", "", VLOOKUP($G255, 'Enter DVID'!$A$1:$C$61, 2, FALSE)), "")</f>
        <v>4181</v>
      </c>
      <c r="I255" s="34" t="str">
        <f>IFERROR(IF(VLOOKUP($G255, 'Enter DVID'!$A$1:$C$61, 3, FALSE)="", "", VLOOKUP($G255, 'Enter DVID'!$A$1:$C$61, 3, FALSE)), "")</f>
        <v>U1</v>
      </c>
      <c r="K255" s="34" t="str">
        <f>IFERROR(IF(VLOOKUP($G255, 'Enter DVID'!$A$1:$D$61, 4, FALSE)="", "", VLOOKUP($G255, 'Enter DVID'!$A$1:$D$61, 4, FALSE)), "")</f>
        <v>ACTIVE_PRJOB_PORTID</v>
      </c>
    </row>
    <row r="256" spans="1:12" x14ac:dyDescent="0.25">
      <c r="G256" s="20" t="s">
        <v>277</v>
      </c>
      <c r="H256" s="34" t="str">
        <f>IFERROR(IF(VLOOKUP($G256, 'Enter DVID'!$A$1:$C$61, 2, FALSE)="", "", VLOOKUP($G256, 'Enter DVID'!$A$1:$C$61, 2, FALSE)), "")</f>
        <v>4184</v>
      </c>
      <c r="I256" s="34" t="str">
        <f>IFERROR(IF(VLOOKUP($G256, 'Enter DVID'!$A$1:$C$61, 3, FALSE)="", "", VLOOKUP($G256, 'Enter DVID'!$A$1:$C$61, 3, FALSE)), "")</f>
        <v>A</v>
      </c>
      <c r="K256" s="34" t="str">
        <f>IFERROR(IF(VLOOKUP($G256, 'Enter DVID'!$A$1:$D$61, 4, FALSE)="", "", VLOOKUP($G256, 'Enter DVID'!$A$1:$D$61, 4, FALSE)), "")</f>
        <v>ACTIVE_PRJOB_LOTID</v>
      </c>
    </row>
    <row r="257" spans="1:12" x14ac:dyDescent="0.25">
      <c r="G257" s="20" t="s">
        <v>265</v>
      </c>
      <c r="H257" s="34" t="str">
        <f>IFERROR(IF(VLOOKUP($G257, 'Enter DVID'!$A$1:$C$61, 2, FALSE)="", "", VLOOKUP($G257, 'Enter DVID'!$A$1:$C$61, 2, FALSE)), "")</f>
        <v>145</v>
      </c>
      <c r="I257" s="34" t="str">
        <f>IFERROR(IF(VLOOKUP($G257, 'Enter DVID'!$A$1:$C$61, 3, FALSE)="", "", VLOOKUP($G257, 'Enter DVID'!$A$1:$C$61, 3, FALSE)), "")</f>
        <v>BINARY</v>
      </c>
      <c r="K257" s="34" t="str">
        <f>IFERROR(IF(VLOOKUP($G257, 'Enter DVID'!$A$1:$D$61, 4, FALSE)="", "", VLOOKUP($G257, 'Enter DVID'!$A$1:$D$61, 4, FALSE)), "")</f>
        <v>PJ_PRMTLTYPE</v>
      </c>
    </row>
    <row r="258" spans="1:12" x14ac:dyDescent="0.25">
      <c r="G258" s="20" t="s">
        <v>266</v>
      </c>
      <c r="H258" s="34" t="str">
        <f>IFERROR(IF(VLOOKUP($G258, 'Enter DVID'!$A$1:$C$61, 2, FALSE)="", "", VLOOKUP($G258, 'Enter DVID'!$A$1:$C$61, 2, FALSE)), "")</f>
        <v>144</v>
      </c>
      <c r="I258" s="34" t="str">
        <f>IFERROR(IF(VLOOKUP($G258, 'Enter DVID'!$A$1:$C$61, 3, FALSE)="", "", VLOOKUP($G258, 'Enter DVID'!$A$1:$C$61, 3, FALSE)), "")</f>
        <v>List</v>
      </c>
      <c r="K258" s="34" t="str">
        <f>IFERROR(IF(VLOOKUP($G258, 'Enter DVID'!$A$1:$D$61, 4, FALSE)="", "", VLOOKUP($G258, 'Enter DVID'!$A$1:$D$61, 4, FALSE)), "")</f>
        <v>PJ_PRMTLNAMELIST</v>
      </c>
    </row>
    <row r="259" spans="1:12" x14ac:dyDescent="0.25">
      <c r="G259" s="20" t="s">
        <v>267</v>
      </c>
      <c r="H259" s="34" t="str">
        <f>IFERROR(IF(VLOOKUP($G259, 'Enter DVID'!$A$1:$C$61, 2, FALSE)="", "", VLOOKUP($G259, 'Enter DVID'!$A$1:$C$61, 2, FALSE)), "")</f>
        <v>147</v>
      </c>
      <c r="I259" s="34" t="str">
        <f>IFERROR(IF(VLOOKUP($G259, 'Enter DVID'!$A$1:$C$61, 3, FALSE)="", "", VLOOKUP($G259, 'Enter DVID'!$A$1:$C$61, 3, FALSE)), "")</f>
        <v>U1</v>
      </c>
      <c r="K259" s="34" t="str">
        <f>IFERROR(IF(VLOOKUP($G259, 'Enter DVID'!$A$1:$D$61, 4, FALSE)="", "", VLOOKUP($G259, 'Enter DVID'!$A$1:$D$61, 4, FALSE)), "")</f>
        <v>PJ_PRRECIPEMETHOD</v>
      </c>
    </row>
    <row r="261" spans="1:12" ht="16.5" thickBot="1" x14ac:dyDescent="0.3">
      <c r="A261" s="1" t="s">
        <v>14</v>
      </c>
      <c r="B261" s="1" t="s">
        <v>15</v>
      </c>
      <c r="C261" s="3" t="s">
        <v>16</v>
      </c>
      <c r="D261" s="3" t="s">
        <v>122</v>
      </c>
      <c r="E261" s="3" t="s">
        <v>255</v>
      </c>
      <c r="F261" s="15" t="s">
        <v>126</v>
      </c>
      <c r="G261" s="1" t="s">
        <v>123</v>
      </c>
      <c r="H261" s="35" t="s">
        <v>124</v>
      </c>
      <c r="I261" s="35" t="s">
        <v>125</v>
      </c>
      <c r="J261" s="15" t="s">
        <v>100</v>
      </c>
      <c r="K261" s="43" t="s">
        <v>101</v>
      </c>
      <c r="L261" s="15" t="s">
        <v>102</v>
      </c>
    </row>
    <row r="262" spans="1:12" ht="17.25" thickTop="1" thickBot="1" x14ac:dyDescent="0.3">
      <c r="A262" s="4">
        <v>35</v>
      </c>
      <c r="B262" s="2" t="s">
        <v>32</v>
      </c>
      <c r="C262" s="2" t="s">
        <v>153</v>
      </c>
      <c r="D262" s="2" t="s">
        <v>142</v>
      </c>
      <c r="E262" s="2" t="s">
        <v>42</v>
      </c>
      <c r="F262" s="62" t="s">
        <v>550</v>
      </c>
      <c r="G262" s="61" t="s">
        <v>273</v>
      </c>
      <c r="H262" s="36" t="str">
        <f>IFERROR(IF(VLOOKUP($G262, 'Enter DVID'!$A$1:$C$61, 2, FALSE)="", "", VLOOKUP($G262, 'Enter DVID'!$A$1:$C$61, 2, FALSE)), "")</f>
        <v>141</v>
      </c>
      <c r="I262" s="63" t="str">
        <f>IFERROR(IF(VLOOKUP($G262, 'Enter DVID'!$A$1:$C$61, 3, FALSE)="", "", VLOOKUP($G262, 'Enter DVID'!$A$1:$C$61, 3, FALSE)), "")</f>
        <v>A</v>
      </c>
      <c r="J262" s="62" t="s">
        <v>549</v>
      </c>
      <c r="K262" s="64" t="str">
        <f>IFERROR(IF(VLOOKUP($G262, 'Enter DVID'!$A$1:$D$61, 4, FALSE)="", "", VLOOKUP($G262, 'Enter DVID'!$A$1:$D$61, 4, FALSE)), "")</f>
        <v>PJ_OBJID</v>
      </c>
    </row>
    <row r="263" spans="1:12" ht="16.5" thickTop="1" x14ac:dyDescent="0.25">
      <c r="C263" s="2" t="s">
        <v>140</v>
      </c>
      <c r="G263" s="19" t="s">
        <v>264</v>
      </c>
      <c r="H263" s="36" t="str">
        <f>IFERROR(IF(VLOOKUP($G263, 'Enter DVID'!$A$1:$C$61, 2, FALSE)="", "", VLOOKUP($G263, 'Enter DVID'!$A$1:$C$61, 2, FALSE)), "")</f>
        <v>143</v>
      </c>
      <c r="I263" s="36" t="str">
        <f>IFERROR(IF(VLOOKUP($G263, 'Enter DVID'!$A$1:$C$61, 3, FALSE)="", "", VLOOKUP($G263, 'Enter DVID'!$A$1:$C$61, 3, FALSE)), "")</f>
        <v>U1</v>
      </c>
      <c r="K263" s="36" t="str">
        <f>IFERROR(IF(VLOOKUP($G263, 'Enter DVID'!$A$1:$D$61, 4, FALSE)="", "", VLOOKUP($G263, 'Enter DVID'!$A$1:$D$61, 4, FALSE)), "")</f>
        <v>PJ_PRJOBSTATE</v>
      </c>
    </row>
    <row r="264" spans="1:12" x14ac:dyDescent="0.25">
      <c r="G264" s="19" t="s">
        <v>271</v>
      </c>
      <c r="H264" s="36" t="str">
        <f>IFERROR(IF(VLOOKUP($G264, 'Enter DVID'!$A$1:$C$61, 2, FALSE)="", "", VLOOKUP($G264, 'Enter DVID'!$A$1:$C$61, 2, FALSE)), "")</f>
        <v>148</v>
      </c>
      <c r="I264" s="36" t="str">
        <f>IFERROR(IF(VLOOKUP($G264, 'Enter DVID'!$A$1:$C$61, 3, FALSE)="", "", VLOOKUP($G264, 'Enter DVID'!$A$1:$C$61, 3, FALSE)), "")</f>
        <v>A</v>
      </c>
      <c r="K264" s="36" t="str">
        <f>IFERROR(IF(VLOOKUP($G264, 'Enter DVID'!$A$1:$D$61, 4, FALSE)="", "", VLOOKUP($G264, 'Enter DVID'!$A$1:$D$61, 4, FALSE)), "")</f>
        <v>PJ_RECID</v>
      </c>
    </row>
    <row r="265" spans="1:12" x14ac:dyDescent="0.25">
      <c r="G265" s="20" t="s">
        <v>274</v>
      </c>
      <c r="H265" s="34" t="str">
        <f>IFERROR(IF(VLOOKUP($G265, 'Enter DVID'!$A$1:$C$61, 2, FALSE)="", "", VLOOKUP($G265, 'Enter DVID'!$A$1:$C$61, 2, FALSE)), "")</f>
        <v>149</v>
      </c>
      <c r="I265" s="34" t="str">
        <f>IFERROR(IF(VLOOKUP($G265, 'Enter DVID'!$A$1:$C$61, 3, FALSE)="", "", VLOOKUP($G265, 'Enter DVID'!$A$1:$C$61, 3, FALSE)), "")</f>
        <v>List</v>
      </c>
      <c r="K265" s="34" t="str">
        <f>IFERROR(IF(VLOOKUP($G265, 'Enter DVID'!$A$1:$D$61, 4, FALSE)="", "", VLOOKUP($G265, 'Enter DVID'!$A$1:$D$61, 4, FALSE)), "")</f>
        <v>PJ_RECVARIABLELIST</v>
      </c>
    </row>
    <row r="266" spans="1:12" x14ac:dyDescent="0.25">
      <c r="G266" s="20" t="s">
        <v>270</v>
      </c>
      <c r="H266" s="34" t="str">
        <f>IFERROR(IF(VLOOKUP($G266, 'Enter DVID'!$A$1:$C$61, 2, FALSE)="", "", VLOOKUP($G266, 'Enter DVID'!$A$1:$C$61, 2, FALSE)), "")</f>
        <v>4185</v>
      </c>
      <c r="I266" s="34" t="str">
        <f>IFERROR(IF(VLOOKUP($G266, 'Enter DVID'!$A$1:$C$61, 3, FALSE)="", "", VLOOKUP($G266, 'Enter DVID'!$A$1:$C$61, 3, FALSE)), "")</f>
        <v>A</v>
      </c>
      <c r="K266" s="34" t="str">
        <f>IFERROR(IF(VLOOKUP($G266, 'Enter DVID'!$A$1:$D$61, 4, FALSE)="", "", VLOOKUP($G266, 'Enter DVID'!$A$1:$D$61, 4, FALSE)), "")</f>
        <v>ACTIVE_CONTROLJOBID</v>
      </c>
    </row>
    <row r="267" spans="1:12" x14ac:dyDescent="0.25">
      <c r="G267" s="20" t="s">
        <v>275</v>
      </c>
      <c r="H267" s="34" t="str">
        <f>IFERROR(IF(VLOOKUP($G267, 'Enter DVID'!$A$1:$C$61, 2, FALSE)="", "", VLOOKUP($G267, 'Enter DVID'!$A$1:$C$61, 2, FALSE)), "")</f>
        <v>4182</v>
      </c>
      <c r="I267" s="34" t="str">
        <f>IFERROR(IF(VLOOKUP($G267, 'Enter DVID'!$A$1:$C$61, 3, FALSE)="", "", VLOOKUP($G267, 'Enter DVID'!$A$1:$C$61, 3, FALSE)), "")</f>
        <v>A</v>
      </c>
      <c r="K267" s="34" t="str">
        <f>IFERROR(IF(VLOOKUP($G267, 'Enter DVID'!$A$1:$D$61, 4, FALSE)="", "", VLOOKUP($G267, 'Enter DVID'!$A$1:$D$61, 4, FALSE)), "")</f>
        <v>ACTIVE_PRJOB_CARRIERID</v>
      </c>
    </row>
    <row r="268" spans="1:12" x14ac:dyDescent="0.25">
      <c r="G268" s="20" t="s">
        <v>276</v>
      </c>
      <c r="H268" s="34" t="str">
        <f>IFERROR(IF(VLOOKUP($G268, 'Enter DVID'!$A$1:$C$61, 2, FALSE)="", "", VLOOKUP($G268, 'Enter DVID'!$A$1:$C$61, 2, FALSE)), "")</f>
        <v>4181</v>
      </c>
      <c r="I268" s="34" t="str">
        <f>IFERROR(IF(VLOOKUP($G268, 'Enter DVID'!$A$1:$C$61, 3, FALSE)="", "", VLOOKUP($G268, 'Enter DVID'!$A$1:$C$61, 3, FALSE)), "")</f>
        <v>U1</v>
      </c>
      <c r="K268" s="34" t="str">
        <f>IFERROR(IF(VLOOKUP($G268, 'Enter DVID'!$A$1:$D$61, 4, FALSE)="", "", VLOOKUP($G268, 'Enter DVID'!$A$1:$D$61, 4, FALSE)), "")</f>
        <v>ACTIVE_PRJOB_PORTID</v>
      </c>
    </row>
    <row r="269" spans="1:12" x14ac:dyDescent="0.25">
      <c r="G269" s="20" t="s">
        <v>277</v>
      </c>
      <c r="H269" s="34" t="str">
        <f>IFERROR(IF(VLOOKUP($G269, 'Enter DVID'!$A$1:$C$61, 2, FALSE)="", "", VLOOKUP($G269, 'Enter DVID'!$A$1:$C$61, 2, FALSE)), "")</f>
        <v>4184</v>
      </c>
      <c r="I269" s="34" t="str">
        <f>IFERROR(IF(VLOOKUP($G269, 'Enter DVID'!$A$1:$C$61, 3, FALSE)="", "", VLOOKUP($G269, 'Enter DVID'!$A$1:$C$61, 3, FALSE)), "")</f>
        <v>A</v>
      </c>
      <c r="K269" s="34" t="str">
        <f>IFERROR(IF(VLOOKUP($G269, 'Enter DVID'!$A$1:$D$61, 4, FALSE)="", "", VLOOKUP($G269, 'Enter DVID'!$A$1:$D$61, 4, FALSE)), "")</f>
        <v>ACTIVE_PRJOB_LOTID</v>
      </c>
    </row>
    <row r="270" spans="1:12" x14ac:dyDescent="0.25">
      <c r="G270" s="20" t="s">
        <v>265</v>
      </c>
      <c r="H270" s="34" t="str">
        <f>IFERROR(IF(VLOOKUP($G270, 'Enter DVID'!$A$1:$C$61, 2, FALSE)="", "", VLOOKUP($G270, 'Enter DVID'!$A$1:$C$61, 2, FALSE)), "")</f>
        <v>145</v>
      </c>
      <c r="I270" s="34" t="str">
        <f>IFERROR(IF(VLOOKUP($G270, 'Enter DVID'!$A$1:$C$61, 3, FALSE)="", "", VLOOKUP($G270, 'Enter DVID'!$A$1:$C$61, 3, FALSE)), "")</f>
        <v>BINARY</v>
      </c>
      <c r="K270" s="34" t="str">
        <f>IFERROR(IF(VLOOKUP($G270, 'Enter DVID'!$A$1:$D$61, 4, FALSE)="", "", VLOOKUP($G270, 'Enter DVID'!$A$1:$D$61, 4, FALSE)), "")</f>
        <v>PJ_PRMTLTYPE</v>
      </c>
    </row>
    <row r="271" spans="1:12" x14ac:dyDescent="0.25">
      <c r="G271" s="20" t="s">
        <v>266</v>
      </c>
      <c r="H271" s="34" t="str">
        <f>IFERROR(IF(VLOOKUP($G271, 'Enter DVID'!$A$1:$C$61, 2, FALSE)="", "", VLOOKUP($G271, 'Enter DVID'!$A$1:$C$61, 2, FALSE)), "")</f>
        <v>144</v>
      </c>
      <c r="I271" s="34" t="str">
        <f>IFERROR(IF(VLOOKUP($G271, 'Enter DVID'!$A$1:$C$61, 3, FALSE)="", "", VLOOKUP($G271, 'Enter DVID'!$A$1:$C$61, 3, FALSE)), "")</f>
        <v>List</v>
      </c>
      <c r="K271" s="34" t="str">
        <f>IFERROR(IF(VLOOKUP($G271, 'Enter DVID'!$A$1:$D$61, 4, FALSE)="", "", VLOOKUP($G271, 'Enter DVID'!$A$1:$D$61, 4, FALSE)), "")</f>
        <v>PJ_PRMTLNAMELIST</v>
      </c>
    </row>
    <row r="272" spans="1:12" x14ac:dyDescent="0.25">
      <c r="G272" s="20" t="s">
        <v>267</v>
      </c>
      <c r="H272" s="34" t="str">
        <f>IFERROR(IF(VLOOKUP($G272, 'Enter DVID'!$A$1:$C$61, 2, FALSE)="", "", VLOOKUP($G272, 'Enter DVID'!$A$1:$C$61, 2, FALSE)), "")</f>
        <v>147</v>
      </c>
      <c r="I272" s="34" t="str">
        <f>IFERROR(IF(VLOOKUP($G272, 'Enter DVID'!$A$1:$C$61, 3, FALSE)="", "", VLOOKUP($G272, 'Enter DVID'!$A$1:$C$61, 3, FALSE)), "")</f>
        <v>U1</v>
      </c>
      <c r="K272" s="34" t="str">
        <f>IFERROR(IF(VLOOKUP($G272, 'Enter DVID'!$A$1:$D$61, 4, FALSE)="", "", VLOOKUP($G272, 'Enter DVID'!$A$1:$D$61, 4, FALSE)), "")</f>
        <v>PJ_PRRECIPEMETHOD</v>
      </c>
    </row>
    <row r="274" spans="1:12" ht="16.5" thickBot="1" x14ac:dyDescent="0.3">
      <c r="A274" s="1" t="s">
        <v>14</v>
      </c>
      <c r="B274" s="1" t="s">
        <v>15</v>
      </c>
      <c r="C274" s="3" t="s">
        <v>16</v>
      </c>
      <c r="D274" s="3" t="s">
        <v>122</v>
      </c>
      <c r="E274" s="3" t="s">
        <v>255</v>
      </c>
      <c r="F274" s="15" t="s">
        <v>126</v>
      </c>
      <c r="G274" s="1" t="s">
        <v>123</v>
      </c>
      <c r="H274" s="35" t="s">
        <v>124</v>
      </c>
      <c r="I274" s="35" t="s">
        <v>125</v>
      </c>
      <c r="J274" s="15" t="s">
        <v>100</v>
      </c>
      <c r="K274" s="43" t="s">
        <v>101</v>
      </c>
      <c r="L274" s="15" t="s">
        <v>102</v>
      </c>
    </row>
    <row r="275" spans="1:12" ht="17.25" thickTop="1" thickBot="1" x14ac:dyDescent="0.3">
      <c r="A275" s="4">
        <v>36</v>
      </c>
      <c r="B275" s="2" t="s">
        <v>32</v>
      </c>
      <c r="C275" s="5" t="s">
        <v>60</v>
      </c>
      <c r="D275" s="2" t="s">
        <v>154</v>
      </c>
      <c r="E275" s="2" t="s">
        <v>44</v>
      </c>
      <c r="F275" s="62" t="s">
        <v>552</v>
      </c>
      <c r="G275" s="61" t="s">
        <v>273</v>
      </c>
      <c r="H275" s="36" t="str">
        <f>IFERROR(IF(VLOOKUP($G275, 'Enter DVID'!$A$1:$C$61, 2, FALSE)="", "", VLOOKUP($G275, 'Enter DVID'!$A$1:$C$61, 2, FALSE)), "")</f>
        <v>141</v>
      </c>
      <c r="I275" s="63" t="str">
        <f>IFERROR(IF(VLOOKUP($G275, 'Enter DVID'!$A$1:$C$61, 3, FALSE)="", "", VLOOKUP($G275, 'Enter DVID'!$A$1:$C$61, 3, FALSE)), "")</f>
        <v>A</v>
      </c>
      <c r="J275" s="62" t="s">
        <v>551</v>
      </c>
      <c r="K275" s="64" t="str">
        <f>IFERROR(IF(VLOOKUP($G275, 'Enter DVID'!$A$1:$D$61, 4, FALSE)="", "", VLOOKUP($G275, 'Enter DVID'!$A$1:$D$61, 4, FALSE)), "")</f>
        <v>PJ_OBJID</v>
      </c>
    </row>
    <row r="276" spans="1:12" ht="16.5" thickTop="1" x14ac:dyDescent="0.25">
      <c r="C276" s="2" t="s">
        <v>90</v>
      </c>
      <c r="G276" s="19" t="s">
        <v>264</v>
      </c>
      <c r="H276" s="36" t="str">
        <f>IFERROR(IF(VLOOKUP($G276, 'Enter DVID'!$A$1:$C$61, 2, FALSE)="", "", VLOOKUP($G276, 'Enter DVID'!$A$1:$C$61, 2, FALSE)), "")</f>
        <v>143</v>
      </c>
      <c r="I276" s="36" t="str">
        <f>IFERROR(IF(VLOOKUP($G276, 'Enter DVID'!$A$1:$C$61, 3, FALSE)="", "", VLOOKUP($G276, 'Enter DVID'!$A$1:$C$61, 3, FALSE)), "")</f>
        <v>U1</v>
      </c>
      <c r="K276" s="36" t="str">
        <f>IFERROR(IF(VLOOKUP($G276, 'Enter DVID'!$A$1:$D$61, 4, FALSE)="", "", VLOOKUP($G276, 'Enter DVID'!$A$1:$D$61, 4, FALSE)), "")</f>
        <v>PJ_PRJOBSTATE</v>
      </c>
    </row>
    <row r="277" spans="1:12" x14ac:dyDescent="0.25">
      <c r="G277" s="19" t="s">
        <v>271</v>
      </c>
      <c r="H277" s="36" t="str">
        <f>IFERROR(IF(VLOOKUP($G277, 'Enter DVID'!$A$1:$C$61, 2, FALSE)="", "", VLOOKUP($G277, 'Enter DVID'!$A$1:$C$61, 2, FALSE)), "")</f>
        <v>148</v>
      </c>
      <c r="I277" s="36" t="str">
        <f>IFERROR(IF(VLOOKUP($G277, 'Enter DVID'!$A$1:$C$61, 3, FALSE)="", "", VLOOKUP($G277, 'Enter DVID'!$A$1:$C$61, 3, FALSE)), "")</f>
        <v>A</v>
      </c>
      <c r="K277" s="36" t="str">
        <f>IFERROR(IF(VLOOKUP($G277, 'Enter DVID'!$A$1:$D$61, 4, FALSE)="", "", VLOOKUP($G277, 'Enter DVID'!$A$1:$D$61, 4, FALSE)), "")</f>
        <v>PJ_RECID</v>
      </c>
    </row>
    <row r="278" spans="1:12" x14ac:dyDescent="0.25">
      <c r="G278" s="19" t="s">
        <v>280</v>
      </c>
      <c r="H278" s="36" t="str">
        <f>IFERROR(IF(VLOOKUP($G278, 'Enter DVID'!$A$1:$C$61, 2, FALSE)="", "", VLOOKUP($G278, 'Enter DVID'!$A$1:$C$61, 2, FALSE)), "")</f>
        <v>4160</v>
      </c>
      <c r="I278" s="36" t="str">
        <f>IFERROR(IF(VLOOKUP($G278, 'Enter DVID'!$A$1:$C$61, 3, FALSE)="", "", VLOOKUP($G278, 'Enter DVID'!$A$1:$C$61, 3, FALSE)), "")</f>
        <v>U1</v>
      </c>
      <c r="K278" s="36" t="str">
        <f>IFERROR(IF(VLOOKUP($G278, 'Enter DVID'!$A$1:$D$61, 4, FALSE)="", "", VLOOKUP($G278, 'Enter DVID'!$A$1:$D$61, 4, FALSE)), "")</f>
        <v>PJPROCESSEDNORMALLY_WAFERCOUNT</v>
      </c>
    </row>
    <row r="279" spans="1:12" x14ac:dyDescent="0.25">
      <c r="G279" s="20" t="s">
        <v>281</v>
      </c>
      <c r="H279" s="34" t="str">
        <f>IFERROR(IF(VLOOKUP($G279, 'Enter DVID'!$A$1:$C$61, 2, FALSE)="", "", VLOOKUP($G279, 'Enter DVID'!$A$1:$C$61, 2, FALSE)), "")</f>
        <v>4185</v>
      </c>
      <c r="I279" s="34" t="str">
        <f>IFERROR(IF(VLOOKUP($G279, 'Enter DVID'!$A$1:$C$61, 3, FALSE)="", "", VLOOKUP($G279, 'Enter DVID'!$A$1:$C$61, 3, FALSE)), "")</f>
        <v>A</v>
      </c>
      <c r="K279" s="34" t="str">
        <f>IFERROR(IF(VLOOKUP($G279, 'Enter DVID'!$A$1:$D$61, 4, FALSE)="", "", VLOOKUP($G279, 'Enter DVID'!$A$1:$D$61, 4, FALSE)), "")</f>
        <v>ACTIVE_CONTROLJOBID</v>
      </c>
    </row>
    <row r="280" spans="1:12" x14ac:dyDescent="0.25">
      <c r="G280" s="20" t="s">
        <v>275</v>
      </c>
      <c r="H280" s="34" t="str">
        <f>IFERROR(IF(VLOOKUP($G280, 'Enter DVID'!$A$1:$C$61, 2, FALSE)="", "", VLOOKUP($G280, 'Enter DVID'!$A$1:$C$61, 2, FALSE)), "")</f>
        <v>4182</v>
      </c>
      <c r="I280" s="34" t="str">
        <f>IFERROR(IF(VLOOKUP($G280, 'Enter DVID'!$A$1:$C$61, 3, FALSE)="", "", VLOOKUP($G280, 'Enter DVID'!$A$1:$C$61, 3, FALSE)), "")</f>
        <v>A</v>
      </c>
      <c r="K280" s="34" t="str">
        <f>IFERROR(IF(VLOOKUP($G280, 'Enter DVID'!$A$1:$D$61, 4, FALSE)="", "", VLOOKUP($G280, 'Enter DVID'!$A$1:$D$61, 4, FALSE)), "")</f>
        <v>ACTIVE_PRJOB_CARRIERID</v>
      </c>
    </row>
    <row r="281" spans="1:12" x14ac:dyDescent="0.25">
      <c r="G281" s="20" t="s">
        <v>276</v>
      </c>
      <c r="H281" s="34" t="str">
        <f>IFERROR(IF(VLOOKUP($G281, 'Enter DVID'!$A$1:$C$61, 2, FALSE)="", "", VLOOKUP($G281, 'Enter DVID'!$A$1:$C$61, 2, FALSE)), "")</f>
        <v>4181</v>
      </c>
      <c r="I281" s="34" t="str">
        <f>IFERROR(IF(VLOOKUP($G281, 'Enter DVID'!$A$1:$C$61, 3, FALSE)="", "", VLOOKUP($G281, 'Enter DVID'!$A$1:$C$61, 3, FALSE)), "")</f>
        <v>U1</v>
      </c>
      <c r="K281" s="34" t="str">
        <f>IFERROR(IF(VLOOKUP($G281, 'Enter DVID'!$A$1:$D$61, 4, FALSE)="", "", VLOOKUP($G281, 'Enter DVID'!$A$1:$D$61, 4, FALSE)), "")</f>
        <v>ACTIVE_PRJOB_PORTID</v>
      </c>
    </row>
    <row r="282" spans="1:12" x14ac:dyDescent="0.25">
      <c r="G282" s="20" t="s">
        <v>277</v>
      </c>
      <c r="H282" s="34" t="str">
        <f>IFERROR(IF(VLOOKUP($G282, 'Enter DVID'!$A$1:$C$61, 2, FALSE)="", "", VLOOKUP($G282, 'Enter DVID'!$A$1:$C$61, 2, FALSE)), "")</f>
        <v>4184</v>
      </c>
      <c r="I282" s="34" t="str">
        <f>IFERROR(IF(VLOOKUP($G282, 'Enter DVID'!$A$1:$C$61, 3, FALSE)="", "", VLOOKUP($G282, 'Enter DVID'!$A$1:$C$61, 3, FALSE)), "")</f>
        <v>A</v>
      </c>
      <c r="K282" s="34" t="str">
        <f>IFERROR(IF(VLOOKUP($G282, 'Enter DVID'!$A$1:$D$61, 4, FALSE)="", "", VLOOKUP($G282, 'Enter DVID'!$A$1:$D$61, 4, FALSE)), "")</f>
        <v>ACTIVE_PRJOB_LOTID</v>
      </c>
    </row>
    <row r="284" spans="1:12" ht="16.5" thickBot="1" x14ac:dyDescent="0.3">
      <c r="A284" s="1" t="s">
        <v>14</v>
      </c>
      <c r="B284" s="1" t="s">
        <v>15</v>
      </c>
      <c r="C284" s="3" t="s">
        <v>16</v>
      </c>
      <c r="D284" s="3" t="s">
        <v>122</v>
      </c>
      <c r="E284" s="3" t="s">
        <v>255</v>
      </c>
      <c r="F284" s="15" t="s">
        <v>126</v>
      </c>
      <c r="G284" s="1" t="s">
        <v>123</v>
      </c>
      <c r="H284" s="35" t="s">
        <v>124</v>
      </c>
      <c r="I284" s="35" t="s">
        <v>125</v>
      </c>
      <c r="J284" s="15" t="s">
        <v>100</v>
      </c>
      <c r="K284" s="43" t="s">
        <v>101</v>
      </c>
      <c r="L284" s="15" t="s">
        <v>102</v>
      </c>
    </row>
    <row r="285" spans="1:12" ht="17.25" thickTop="1" thickBot="1" x14ac:dyDescent="0.3">
      <c r="A285" s="4">
        <v>37</v>
      </c>
      <c r="B285" s="2" t="s">
        <v>32</v>
      </c>
      <c r="C285" s="5" t="s">
        <v>155</v>
      </c>
      <c r="D285" s="2" t="s">
        <v>156</v>
      </c>
      <c r="E285" s="2" t="s">
        <v>44</v>
      </c>
      <c r="F285" s="62" t="s">
        <v>553</v>
      </c>
      <c r="G285" s="61" t="s">
        <v>273</v>
      </c>
      <c r="H285" s="36" t="str">
        <f>IFERROR(IF(VLOOKUP($G285, 'Enter DVID'!$A$1:$C$61, 2, FALSE)="", "", VLOOKUP($G285, 'Enter DVID'!$A$1:$C$61, 2, FALSE)), "")</f>
        <v>141</v>
      </c>
      <c r="I285" s="63" t="str">
        <f>IFERROR(IF(VLOOKUP($G285, 'Enter DVID'!$A$1:$C$61, 3, FALSE)="", "", VLOOKUP($G285, 'Enter DVID'!$A$1:$C$61, 3, FALSE)), "")</f>
        <v>A</v>
      </c>
      <c r="J285" s="62" t="s">
        <v>554</v>
      </c>
      <c r="K285" s="64" t="str">
        <f>IFERROR(IF(VLOOKUP($G285, 'Enter DVID'!$A$1:$D$61, 4, FALSE)="", "", VLOOKUP($G285, 'Enter DVID'!$A$1:$D$61, 4, FALSE)), "")</f>
        <v>PJ_OBJID</v>
      </c>
    </row>
    <row r="286" spans="1:12" ht="16.5" thickTop="1" x14ac:dyDescent="0.25">
      <c r="C286" s="2" t="s">
        <v>157</v>
      </c>
      <c r="G286" s="19" t="s">
        <v>264</v>
      </c>
      <c r="H286" s="36" t="str">
        <f>IFERROR(IF(VLOOKUP($G286, 'Enter DVID'!$A$1:$C$61, 2, FALSE)="", "", VLOOKUP($G286, 'Enter DVID'!$A$1:$C$61, 2, FALSE)), "")</f>
        <v>143</v>
      </c>
      <c r="I286" s="36" t="str">
        <f>IFERROR(IF(VLOOKUP($G286, 'Enter DVID'!$A$1:$C$61, 3, FALSE)="", "", VLOOKUP($G286, 'Enter DVID'!$A$1:$C$61, 3, FALSE)), "")</f>
        <v>U1</v>
      </c>
      <c r="K286" s="36" t="str">
        <f>IFERROR(IF(VLOOKUP($G286, 'Enter DVID'!$A$1:$D$61, 4, FALSE)="", "", VLOOKUP($G286, 'Enter DVID'!$A$1:$D$61, 4, FALSE)), "")</f>
        <v>PJ_PRJOBSTATE</v>
      </c>
    </row>
    <row r="287" spans="1:12" x14ac:dyDescent="0.25">
      <c r="G287" s="19" t="s">
        <v>271</v>
      </c>
      <c r="H287" s="36" t="str">
        <f>IFERROR(IF(VLOOKUP($G287, 'Enter DVID'!$A$1:$C$61, 2, FALSE)="", "", VLOOKUP($G287, 'Enter DVID'!$A$1:$C$61, 2, FALSE)), "")</f>
        <v>148</v>
      </c>
      <c r="I287" s="36" t="str">
        <f>IFERROR(IF(VLOOKUP($G287, 'Enter DVID'!$A$1:$C$61, 3, FALSE)="", "", VLOOKUP($G287, 'Enter DVID'!$A$1:$C$61, 3, FALSE)), "")</f>
        <v>A</v>
      </c>
      <c r="K287" s="36" t="str">
        <f>IFERROR(IF(VLOOKUP($G287, 'Enter DVID'!$A$1:$D$61, 4, FALSE)="", "", VLOOKUP($G287, 'Enter DVID'!$A$1:$D$61, 4, FALSE)), "")</f>
        <v>PJ_RECID</v>
      </c>
    </row>
    <row r="288" spans="1:12" x14ac:dyDescent="0.25">
      <c r="G288" s="19" t="s">
        <v>280</v>
      </c>
      <c r="H288" s="36" t="str">
        <f>IFERROR(IF(VLOOKUP($G288, 'Enter DVID'!$A$1:$C$61, 2, FALSE)="", "", VLOOKUP($G288, 'Enter DVID'!$A$1:$C$61, 2, FALSE)), "")</f>
        <v>4160</v>
      </c>
      <c r="I288" s="36" t="str">
        <f>IFERROR(IF(VLOOKUP($G288, 'Enter DVID'!$A$1:$C$61, 3, FALSE)="", "", VLOOKUP($G288, 'Enter DVID'!$A$1:$C$61, 3, FALSE)), "")</f>
        <v>U1</v>
      </c>
      <c r="K288" s="36" t="str">
        <f>IFERROR(IF(VLOOKUP($G288, 'Enter DVID'!$A$1:$D$61, 4, FALSE)="", "", VLOOKUP($G288, 'Enter DVID'!$A$1:$D$61, 4, FALSE)), "")</f>
        <v>PJPROCESSEDNORMALLY_WAFERCOUNT</v>
      </c>
    </row>
    <row r="289" spans="1:12" x14ac:dyDescent="0.25">
      <c r="G289" s="20" t="s">
        <v>281</v>
      </c>
      <c r="H289" s="34" t="str">
        <f>IFERROR(IF(VLOOKUP($G289, 'Enter DVID'!$A$1:$C$61, 2, FALSE)="", "", VLOOKUP($G289, 'Enter DVID'!$A$1:$C$61, 2, FALSE)), "")</f>
        <v>4185</v>
      </c>
      <c r="I289" s="34" t="str">
        <f>IFERROR(IF(VLOOKUP($G289, 'Enter DVID'!$A$1:$C$61, 3, FALSE)="", "", VLOOKUP($G289, 'Enter DVID'!$A$1:$C$61, 3, FALSE)), "")</f>
        <v>A</v>
      </c>
      <c r="K289" s="34" t="str">
        <f>IFERROR(IF(VLOOKUP($G289, 'Enter DVID'!$A$1:$D$61, 4, FALSE)="", "", VLOOKUP($G289, 'Enter DVID'!$A$1:$D$61, 4, FALSE)), "")</f>
        <v>ACTIVE_CONTROLJOBID</v>
      </c>
    </row>
    <row r="290" spans="1:12" x14ac:dyDescent="0.25">
      <c r="G290" s="20" t="s">
        <v>275</v>
      </c>
      <c r="H290" s="34" t="str">
        <f>IFERROR(IF(VLOOKUP($G290, 'Enter DVID'!$A$1:$C$61, 2, FALSE)="", "", VLOOKUP($G290, 'Enter DVID'!$A$1:$C$61, 2, FALSE)), "")</f>
        <v>4182</v>
      </c>
      <c r="I290" s="34" t="str">
        <f>IFERROR(IF(VLOOKUP($G290, 'Enter DVID'!$A$1:$C$61, 3, FALSE)="", "", VLOOKUP($G290, 'Enter DVID'!$A$1:$C$61, 3, FALSE)), "")</f>
        <v>A</v>
      </c>
      <c r="K290" s="34" t="str">
        <f>IFERROR(IF(VLOOKUP($G290, 'Enter DVID'!$A$1:$D$61, 4, FALSE)="", "", VLOOKUP($G290, 'Enter DVID'!$A$1:$D$61, 4, FALSE)), "")</f>
        <v>ACTIVE_PRJOB_CARRIERID</v>
      </c>
    </row>
    <row r="291" spans="1:12" x14ac:dyDescent="0.25">
      <c r="G291" s="20" t="s">
        <v>276</v>
      </c>
      <c r="H291" s="34" t="str">
        <f>IFERROR(IF(VLOOKUP($G291, 'Enter DVID'!$A$1:$C$61, 2, FALSE)="", "", VLOOKUP($G291, 'Enter DVID'!$A$1:$C$61, 2, FALSE)), "")</f>
        <v>4181</v>
      </c>
      <c r="I291" s="34" t="str">
        <f>IFERROR(IF(VLOOKUP($G291, 'Enter DVID'!$A$1:$C$61, 3, FALSE)="", "", VLOOKUP($G291, 'Enter DVID'!$A$1:$C$61, 3, FALSE)), "")</f>
        <v>U1</v>
      </c>
      <c r="K291" s="34" t="str">
        <f>IFERROR(IF(VLOOKUP($G291, 'Enter DVID'!$A$1:$D$61, 4, FALSE)="", "", VLOOKUP($G291, 'Enter DVID'!$A$1:$D$61, 4, FALSE)), "")</f>
        <v>ACTIVE_PRJOB_PORTID</v>
      </c>
    </row>
    <row r="292" spans="1:12" x14ac:dyDescent="0.25">
      <c r="G292" s="20" t="s">
        <v>277</v>
      </c>
      <c r="H292" s="34" t="str">
        <f>IFERROR(IF(VLOOKUP($G292, 'Enter DVID'!$A$1:$C$61, 2, FALSE)="", "", VLOOKUP($G292, 'Enter DVID'!$A$1:$C$61, 2, FALSE)), "")</f>
        <v>4184</v>
      </c>
      <c r="I292" s="34" t="str">
        <f>IFERROR(IF(VLOOKUP($G292, 'Enter DVID'!$A$1:$C$61, 3, FALSE)="", "", VLOOKUP($G292, 'Enter DVID'!$A$1:$C$61, 3, FALSE)), "")</f>
        <v>A</v>
      </c>
      <c r="K292" s="34" t="str">
        <f>IFERROR(IF(VLOOKUP($G292, 'Enter DVID'!$A$1:$D$61, 4, FALSE)="", "", VLOOKUP($G292, 'Enter DVID'!$A$1:$D$61, 4, FALSE)), "")</f>
        <v>ACTIVE_PRJOB_LOTID</v>
      </c>
    </row>
    <row r="294" spans="1:12" ht="16.5" thickBot="1" x14ac:dyDescent="0.3">
      <c r="A294" s="1" t="s">
        <v>14</v>
      </c>
      <c r="B294" s="1" t="s">
        <v>15</v>
      </c>
      <c r="C294" s="3" t="s">
        <v>16</v>
      </c>
      <c r="D294" s="3" t="s">
        <v>122</v>
      </c>
      <c r="E294" s="3" t="s">
        <v>255</v>
      </c>
      <c r="F294" s="15" t="s">
        <v>126</v>
      </c>
      <c r="G294" s="1" t="s">
        <v>123</v>
      </c>
      <c r="H294" s="35" t="s">
        <v>124</v>
      </c>
      <c r="I294" s="35" t="s">
        <v>125</v>
      </c>
      <c r="J294" s="15" t="s">
        <v>100</v>
      </c>
      <c r="K294" s="43" t="s">
        <v>101</v>
      </c>
      <c r="L294" s="15" t="s">
        <v>102</v>
      </c>
    </row>
    <row r="295" spans="1:12" ht="17.25" thickTop="1" thickBot="1" x14ac:dyDescent="0.3">
      <c r="A295" s="4">
        <v>38</v>
      </c>
      <c r="B295" s="2" t="s">
        <v>32</v>
      </c>
      <c r="C295" s="5" t="s">
        <v>158</v>
      </c>
      <c r="D295" s="2" t="s">
        <v>160</v>
      </c>
      <c r="E295" s="2" t="s">
        <v>44</v>
      </c>
      <c r="F295" s="62" t="s">
        <v>555</v>
      </c>
      <c r="G295" s="61" t="s">
        <v>273</v>
      </c>
      <c r="H295" s="36" t="str">
        <f>IFERROR(IF(VLOOKUP($G295, 'Enter DVID'!$A$1:$C$61, 2, FALSE)="", "", VLOOKUP($G295, 'Enter DVID'!$A$1:$C$61, 2, FALSE)), "")</f>
        <v>141</v>
      </c>
      <c r="I295" s="63" t="str">
        <f>IFERROR(IF(VLOOKUP($G295, 'Enter DVID'!$A$1:$C$61, 3, FALSE)="", "", VLOOKUP($G295, 'Enter DVID'!$A$1:$C$61, 3, FALSE)), "")</f>
        <v>A</v>
      </c>
      <c r="J295" s="62" t="s">
        <v>556</v>
      </c>
      <c r="K295" s="64" t="str">
        <f>IFERROR(IF(VLOOKUP($G295, 'Enter DVID'!$A$1:$D$61, 4, FALSE)="", "", VLOOKUP($G295, 'Enter DVID'!$A$1:$D$61, 4, FALSE)), "")</f>
        <v>PJ_OBJID</v>
      </c>
    </row>
    <row r="296" spans="1:12" ht="16.5" thickTop="1" x14ac:dyDescent="0.25">
      <c r="C296" s="2" t="s">
        <v>159</v>
      </c>
      <c r="G296" s="19" t="s">
        <v>264</v>
      </c>
      <c r="H296" s="36" t="str">
        <f>IFERROR(IF(VLOOKUP($G296, 'Enter DVID'!$A$1:$C$61, 2, FALSE)="", "", VLOOKUP($G296, 'Enter DVID'!$A$1:$C$61, 2, FALSE)), "")</f>
        <v>143</v>
      </c>
      <c r="I296" s="36" t="str">
        <f>IFERROR(IF(VLOOKUP($G296, 'Enter DVID'!$A$1:$C$61, 3, FALSE)="", "", VLOOKUP($G296, 'Enter DVID'!$A$1:$C$61, 3, FALSE)), "")</f>
        <v>U1</v>
      </c>
      <c r="K296" s="36" t="str">
        <f>IFERROR(IF(VLOOKUP($G296, 'Enter DVID'!$A$1:$D$61, 4, FALSE)="", "", VLOOKUP($G296, 'Enter DVID'!$A$1:$D$61, 4, FALSE)), "")</f>
        <v>PJ_PRJOBSTATE</v>
      </c>
    </row>
    <row r="297" spans="1:12" x14ac:dyDescent="0.25">
      <c r="G297" s="19" t="s">
        <v>271</v>
      </c>
      <c r="H297" s="36" t="str">
        <f>IFERROR(IF(VLOOKUP($G297, 'Enter DVID'!$A$1:$C$61, 2, FALSE)="", "", VLOOKUP($G297, 'Enter DVID'!$A$1:$C$61, 2, FALSE)), "")</f>
        <v>148</v>
      </c>
      <c r="I297" s="36" t="str">
        <f>IFERROR(IF(VLOOKUP($G297, 'Enter DVID'!$A$1:$C$61, 3, FALSE)="", "", VLOOKUP($G297, 'Enter DVID'!$A$1:$C$61, 3, FALSE)), "")</f>
        <v>A</v>
      </c>
      <c r="K297" s="36" t="str">
        <f>IFERROR(IF(VLOOKUP($G297, 'Enter DVID'!$A$1:$D$61, 4, FALSE)="", "", VLOOKUP($G297, 'Enter DVID'!$A$1:$D$61, 4, FALSE)), "")</f>
        <v>PJ_RECID</v>
      </c>
    </row>
    <row r="298" spans="1:12" x14ac:dyDescent="0.25">
      <c r="G298" s="19" t="s">
        <v>280</v>
      </c>
      <c r="H298" s="36" t="str">
        <f>IFERROR(IF(VLOOKUP($G298, 'Enter DVID'!$A$1:$C$61, 2, FALSE)="", "", VLOOKUP($G298, 'Enter DVID'!$A$1:$C$61, 2, FALSE)), "")</f>
        <v>4160</v>
      </c>
      <c r="I298" s="36" t="str">
        <f>IFERROR(IF(VLOOKUP($G298, 'Enter DVID'!$A$1:$C$61, 3, FALSE)="", "", VLOOKUP($G298, 'Enter DVID'!$A$1:$C$61, 3, FALSE)), "")</f>
        <v>U1</v>
      </c>
      <c r="K298" s="36" t="str">
        <f>IFERROR(IF(VLOOKUP($G298, 'Enter DVID'!$A$1:$D$61, 4, FALSE)="", "", VLOOKUP($G298, 'Enter DVID'!$A$1:$D$61, 4, FALSE)), "")</f>
        <v>PJPROCESSEDNORMALLY_WAFERCOUNT</v>
      </c>
    </row>
    <row r="299" spans="1:12" x14ac:dyDescent="0.25">
      <c r="G299" s="20" t="s">
        <v>281</v>
      </c>
      <c r="H299" s="34" t="str">
        <f>IFERROR(IF(VLOOKUP($G299, 'Enter DVID'!$A$1:$C$61, 2, FALSE)="", "", VLOOKUP($G299, 'Enter DVID'!$A$1:$C$61, 2, FALSE)), "")</f>
        <v>4185</v>
      </c>
      <c r="I299" s="34" t="str">
        <f>IFERROR(IF(VLOOKUP($G299, 'Enter DVID'!$A$1:$C$61, 3, FALSE)="", "", VLOOKUP($G299, 'Enter DVID'!$A$1:$C$61, 3, FALSE)), "")</f>
        <v>A</v>
      </c>
      <c r="K299" s="34" t="str">
        <f>IFERROR(IF(VLOOKUP($G299, 'Enter DVID'!$A$1:$D$61, 4, FALSE)="", "", VLOOKUP($G299, 'Enter DVID'!$A$1:$D$61, 4, FALSE)), "")</f>
        <v>ACTIVE_CONTROLJOBID</v>
      </c>
    </row>
    <row r="300" spans="1:12" x14ac:dyDescent="0.25">
      <c r="G300" s="20" t="s">
        <v>275</v>
      </c>
      <c r="H300" s="34" t="str">
        <f>IFERROR(IF(VLOOKUP($G300, 'Enter DVID'!$A$1:$C$61, 2, FALSE)="", "", VLOOKUP($G300, 'Enter DVID'!$A$1:$C$61, 2, FALSE)), "")</f>
        <v>4182</v>
      </c>
      <c r="I300" s="34" t="str">
        <f>IFERROR(IF(VLOOKUP($G300, 'Enter DVID'!$A$1:$C$61, 3, FALSE)="", "", VLOOKUP($G300, 'Enter DVID'!$A$1:$C$61, 3, FALSE)), "")</f>
        <v>A</v>
      </c>
      <c r="K300" s="34" t="str">
        <f>IFERROR(IF(VLOOKUP($G300, 'Enter DVID'!$A$1:$D$61, 4, FALSE)="", "", VLOOKUP($G300, 'Enter DVID'!$A$1:$D$61, 4, FALSE)), "")</f>
        <v>ACTIVE_PRJOB_CARRIERID</v>
      </c>
    </row>
    <row r="301" spans="1:12" x14ac:dyDescent="0.25">
      <c r="G301" s="20" t="s">
        <v>276</v>
      </c>
      <c r="H301" s="34" t="str">
        <f>IFERROR(IF(VLOOKUP($G301, 'Enter DVID'!$A$1:$C$61, 2, FALSE)="", "", VLOOKUP($G301, 'Enter DVID'!$A$1:$C$61, 2, FALSE)), "")</f>
        <v>4181</v>
      </c>
      <c r="I301" s="34" t="str">
        <f>IFERROR(IF(VLOOKUP($G301, 'Enter DVID'!$A$1:$C$61, 3, FALSE)="", "", VLOOKUP($G301, 'Enter DVID'!$A$1:$C$61, 3, FALSE)), "")</f>
        <v>U1</v>
      </c>
      <c r="K301" s="34" t="str">
        <f>IFERROR(IF(VLOOKUP($G301, 'Enter DVID'!$A$1:$D$61, 4, FALSE)="", "", VLOOKUP($G301, 'Enter DVID'!$A$1:$D$61, 4, FALSE)), "")</f>
        <v>ACTIVE_PRJOB_PORTID</v>
      </c>
    </row>
    <row r="302" spans="1:12" x14ac:dyDescent="0.25">
      <c r="G302" s="20" t="s">
        <v>277</v>
      </c>
      <c r="H302" s="34" t="str">
        <f>IFERROR(IF(VLOOKUP($G302, 'Enter DVID'!$A$1:$C$61, 2, FALSE)="", "", VLOOKUP($G302, 'Enter DVID'!$A$1:$C$61, 2, FALSE)), "")</f>
        <v>4184</v>
      </c>
      <c r="I302" s="34" t="str">
        <f>IFERROR(IF(VLOOKUP($G302, 'Enter DVID'!$A$1:$C$61, 3, FALSE)="", "", VLOOKUP($G302, 'Enter DVID'!$A$1:$C$61, 3, FALSE)), "")</f>
        <v>A</v>
      </c>
      <c r="K302" s="34" t="str">
        <f>IFERROR(IF(VLOOKUP($G302, 'Enter DVID'!$A$1:$D$61, 4, FALSE)="", "", VLOOKUP($G302, 'Enter DVID'!$A$1:$D$61, 4, FALSE)), "")</f>
        <v>ACTIVE_PRJOB_LOTID</v>
      </c>
    </row>
    <row r="304" spans="1:12" ht="16.5" thickBot="1" x14ac:dyDescent="0.3">
      <c r="A304" s="1" t="s">
        <v>14</v>
      </c>
      <c r="B304" s="1" t="s">
        <v>15</v>
      </c>
      <c r="C304" s="3" t="s">
        <v>16</v>
      </c>
      <c r="D304" s="3" t="s">
        <v>122</v>
      </c>
      <c r="E304" s="3" t="s">
        <v>255</v>
      </c>
      <c r="F304" s="15" t="s">
        <v>126</v>
      </c>
      <c r="G304" s="1" t="s">
        <v>123</v>
      </c>
      <c r="H304" s="35" t="s">
        <v>124</v>
      </c>
      <c r="I304" s="35" t="s">
        <v>125</v>
      </c>
      <c r="J304" s="15" t="s">
        <v>100</v>
      </c>
      <c r="K304" s="43" t="s">
        <v>101</v>
      </c>
      <c r="L304" s="15" t="s">
        <v>102</v>
      </c>
    </row>
    <row r="305" spans="1:12" ht="17.25" thickTop="1" thickBot="1" x14ac:dyDescent="0.3">
      <c r="A305" s="4">
        <v>39</v>
      </c>
      <c r="B305" s="2" t="s">
        <v>32</v>
      </c>
      <c r="C305" s="5" t="s">
        <v>175</v>
      </c>
      <c r="D305" s="2" t="s">
        <v>231</v>
      </c>
      <c r="E305" s="2" t="s">
        <v>44</v>
      </c>
      <c r="F305" s="62" t="s">
        <v>558</v>
      </c>
      <c r="G305" s="61" t="s">
        <v>273</v>
      </c>
      <c r="H305" s="36" t="str">
        <f>IFERROR(IF(VLOOKUP($G305, 'Enter DVID'!$A$1:$C$61, 2, FALSE)="", "", VLOOKUP($G305, 'Enter DVID'!$A$1:$C$61, 2, FALSE)), "")</f>
        <v>141</v>
      </c>
      <c r="I305" s="63" t="str">
        <f>IFERROR(IF(VLOOKUP($G305, 'Enter DVID'!$A$1:$C$61, 3, FALSE)="", "", VLOOKUP($G305, 'Enter DVID'!$A$1:$C$61, 3, FALSE)), "")</f>
        <v>A</v>
      </c>
      <c r="J305" s="62" t="s">
        <v>557</v>
      </c>
      <c r="K305" s="64" t="str">
        <f>IFERROR(IF(VLOOKUP($G305, 'Enter DVID'!$A$1:$D$61, 4, FALSE)="", "", VLOOKUP($G305, 'Enter DVID'!$A$1:$D$61, 4, FALSE)), "")</f>
        <v>PJ_OBJID</v>
      </c>
    </row>
    <row r="306" spans="1:12" ht="16.5" thickTop="1" x14ac:dyDescent="0.25">
      <c r="G306" s="19" t="s">
        <v>264</v>
      </c>
      <c r="H306" s="36" t="str">
        <f>IFERROR(IF(VLOOKUP($G306, 'Enter DVID'!$A$1:$C$61, 2, FALSE)="", "", VLOOKUP($G306, 'Enter DVID'!$A$1:$C$61, 2, FALSE)), "")</f>
        <v>143</v>
      </c>
      <c r="I306" s="36" t="str">
        <f>IFERROR(IF(VLOOKUP($G306, 'Enter DVID'!$A$1:$C$61, 3, FALSE)="", "", VLOOKUP($G306, 'Enter DVID'!$A$1:$C$61, 3, FALSE)), "")</f>
        <v>U1</v>
      </c>
      <c r="K306" s="36" t="str">
        <f>IFERROR(IF(VLOOKUP($G306, 'Enter DVID'!$A$1:$D$61, 4, FALSE)="", "", VLOOKUP($G306, 'Enter DVID'!$A$1:$D$61, 4, FALSE)), "")</f>
        <v>PJ_PRJOBSTATE</v>
      </c>
    </row>
    <row r="307" spans="1:12" x14ac:dyDescent="0.25">
      <c r="G307" s="19" t="s">
        <v>271</v>
      </c>
      <c r="H307" s="36" t="str">
        <f>IFERROR(IF(VLOOKUP($G307, 'Enter DVID'!$A$1:$C$61, 2, FALSE)="", "", VLOOKUP($G307, 'Enter DVID'!$A$1:$C$61, 2, FALSE)), "")</f>
        <v>148</v>
      </c>
      <c r="I307" s="36" t="str">
        <f>IFERROR(IF(VLOOKUP($G307, 'Enter DVID'!$A$1:$C$61, 3, FALSE)="", "", VLOOKUP($G307, 'Enter DVID'!$A$1:$C$61, 3, FALSE)), "")</f>
        <v>A</v>
      </c>
      <c r="K307" s="36" t="str">
        <f>IFERROR(IF(VLOOKUP($G307, 'Enter DVID'!$A$1:$D$61, 4, FALSE)="", "", VLOOKUP($G307, 'Enter DVID'!$A$1:$D$61, 4, FALSE)), "")</f>
        <v>PJ_RECID</v>
      </c>
    </row>
    <row r="308" spans="1:12" x14ac:dyDescent="0.25">
      <c r="G308" s="20" t="s">
        <v>275</v>
      </c>
      <c r="H308" s="34" t="str">
        <f>IFERROR(IF(VLOOKUP($G308, 'Enter DVID'!$A$1:$C$61, 2, FALSE)="", "", VLOOKUP($G308, 'Enter DVID'!$A$1:$C$61, 2, FALSE)), "")</f>
        <v>4182</v>
      </c>
      <c r="I308" s="34" t="str">
        <f>IFERROR(IF(VLOOKUP($G308, 'Enter DVID'!$A$1:$C$61, 3, FALSE)="", "", VLOOKUP($G308, 'Enter DVID'!$A$1:$C$61, 3, FALSE)), "")</f>
        <v>A</v>
      </c>
      <c r="K308" s="34" t="str">
        <f>IFERROR(IF(VLOOKUP($G308, 'Enter DVID'!$A$1:$D$61, 4, FALSE)="", "", VLOOKUP($G308, 'Enter DVID'!$A$1:$D$61, 4, FALSE)), "")</f>
        <v>ACTIVE_PRJOB_CARRIERID</v>
      </c>
    </row>
    <row r="309" spans="1:12" x14ac:dyDescent="0.25">
      <c r="G309" s="20" t="s">
        <v>276</v>
      </c>
      <c r="H309" s="34" t="str">
        <f>IFERROR(IF(VLOOKUP($G309, 'Enter DVID'!$A$1:$C$61, 2, FALSE)="", "", VLOOKUP($G309, 'Enter DVID'!$A$1:$C$61, 2, FALSE)), "")</f>
        <v>4181</v>
      </c>
      <c r="I309" s="34" t="str">
        <f>IFERROR(IF(VLOOKUP($G309, 'Enter DVID'!$A$1:$C$61, 3, FALSE)="", "", VLOOKUP($G309, 'Enter DVID'!$A$1:$C$61, 3, FALSE)), "")</f>
        <v>U1</v>
      </c>
      <c r="K309" s="34" t="str">
        <f>IFERROR(IF(VLOOKUP($G309, 'Enter DVID'!$A$1:$D$61, 4, FALSE)="", "", VLOOKUP($G309, 'Enter DVID'!$A$1:$D$61, 4, FALSE)), "")</f>
        <v>ACTIVE_PRJOB_PORTID</v>
      </c>
    </row>
    <row r="310" spans="1:12" x14ac:dyDescent="0.25">
      <c r="G310" s="20" t="s">
        <v>277</v>
      </c>
      <c r="H310" s="34" t="str">
        <f>IFERROR(IF(VLOOKUP($G310, 'Enter DVID'!$A$1:$C$61, 2, FALSE)="", "", VLOOKUP($G310, 'Enter DVID'!$A$1:$C$61, 2, FALSE)), "")</f>
        <v>4184</v>
      </c>
      <c r="I310" s="34" t="str">
        <f>IFERROR(IF(VLOOKUP($G310, 'Enter DVID'!$A$1:$C$61, 3, FALSE)="", "", VLOOKUP($G310, 'Enter DVID'!$A$1:$C$61, 3, FALSE)), "")</f>
        <v>A</v>
      </c>
      <c r="K310" s="34" t="str">
        <f>IFERROR(IF(VLOOKUP($G310, 'Enter DVID'!$A$1:$D$61, 4, FALSE)="", "", VLOOKUP($G310, 'Enter DVID'!$A$1:$D$61, 4, FALSE)), "")</f>
        <v>ACTIVE_PRJOB_LOTID</v>
      </c>
    </row>
    <row r="312" spans="1:12" ht="16.5" thickBot="1" x14ac:dyDescent="0.3">
      <c r="A312" s="1" t="s">
        <v>14</v>
      </c>
      <c r="B312" s="1" t="s">
        <v>15</v>
      </c>
      <c r="C312" s="3" t="s">
        <v>16</v>
      </c>
      <c r="D312" s="3" t="s">
        <v>122</v>
      </c>
      <c r="E312" s="3" t="s">
        <v>255</v>
      </c>
      <c r="F312" s="15" t="s">
        <v>126</v>
      </c>
      <c r="G312" s="1" t="s">
        <v>123</v>
      </c>
      <c r="H312" s="35" t="s">
        <v>124</v>
      </c>
      <c r="I312" s="35" t="s">
        <v>125</v>
      </c>
      <c r="J312" s="15" t="s">
        <v>100</v>
      </c>
      <c r="K312" s="43" t="s">
        <v>101</v>
      </c>
      <c r="L312" s="15" t="s">
        <v>102</v>
      </c>
    </row>
    <row r="313" spans="1:12" ht="17.25" thickTop="1" thickBot="1" x14ac:dyDescent="0.3">
      <c r="A313" s="4">
        <v>40</v>
      </c>
      <c r="B313" s="2" t="s">
        <v>70</v>
      </c>
      <c r="C313" s="2" t="s">
        <v>33</v>
      </c>
      <c r="D313" s="2" t="s">
        <v>161</v>
      </c>
      <c r="F313" s="62" t="s">
        <v>559</v>
      </c>
      <c r="G313" s="61" t="s">
        <v>0</v>
      </c>
      <c r="H313" s="36" t="str">
        <f>IFERROR(IF(VLOOKUP($G313, 'Enter DVID'!$A$1:$C$61, 2, FALSE)="", "", VLOOKUP($G313, 'Enter DVID'!$A$1:$C$61, 2, FALSE)), "")</f>
        <v>241</v>
      </c>
      <c r="I313" s="63" t="str">
        <f>IFERROR(IF(VLOOKUP($G313, 'Enter DVID'!$A$1:$C$61, 3, FALSE)="", "", VLOOKUP($G313, 'Enter DVID'!$A$1:$C$61, 3, FALSE)), "")</f>
        <v>A</v>
      </c>
      <c r="J313" s="62" t="s">
        <v>560</v>
      </c>
      <c r="K313" s="64" t="str">
        <f>IFERROR(IF(VLOOKUP($G313, 'Enter DVID'!$A$1:$D$61, 4, FALSE)="", "", VLOOKUP($G313, 'Enter DVID'!$A$1:$D$61, 4, FALSE)), "")</f>
        <v>CJ_OBJID</v>
      </c>
    </row>
    <row r="314" spans="1:12" ht="16.5" thickTop="1" x14ac:dyDescent="0.25">
      <c r="C314" s="2" t="s">
        <v>87</v>
      </c>
      <c r="G314" s="19" t="s">
        <v>11</v>
      </c>
      <c r="H314" s="36" t="str">
        <f>IFERROR(IF(VLOOKUP($G314, 'Enter DVID'!$A$1:$C$61, 2, FALSE)="", "", VLOOKUP($G314, 'Enter DVID'!$A$1:$C$61, 2, FALSE)), "")</f>
        <v>251</v>
      </c>
      <c r="I314" s="36" t="str">
        <f>IFERROR(IF(VLOOKUP($G314, 'Enter DVID'!$A$1:$C$61, 3, FALSE)="", "", VLOOKUP($G314, 'Enter DVID'!$A$1:$C$61, 3, FALSE)), "")</f>
        <v>U1</v>
      </c>
      <c r="K314" s="36" t="str">
        <f>IFERROR(IF(VLOOKUP($G314, 'Enter DVID'!$A$1:$D$61, 4, FALSE)="", "", VLOOKUP($G314, 'Enter DVID'!$A$1:$D$61, 4, FALSE)), "")</f>
        <v>CJ_STATE</v>
      </c>
    </row>
    <row r="315" spans="1:12" x14ac:dyDescent="0.25">
      <c r="G315" s="20" t="s">
        <v>18</v>
      </c>
      <c r="H315" s="34" t="str">
        <f>IFERROR(IF(VLOOKUP($G315, 'Enter DVID'!$A$1:$C$61, 2, FALSE)="", "", VLOOKUP($G315, 'Enter DVID'!$A$1:$C$61, 2, FALSE)), "")</f>
        <v/>
      </c>
      <c r="I315" s="34" t="str">
        <f>IFERROR(IF(VLOOKUP($G315, 'Enter DVID'!$A$1:$C$61, 3, FALSE)="", "", VLOOKUP($G315, 'Enter DVID'!$A$1:$C$61, 3, FALSE)), "")</f>
        <v/>
      </c>
      <c r="K315" s="34" t="str">
        <f>IFERROR(IF(VLOOKUP($G315, 'Enter DVID'!$A$1:$D$61, 4, FALSE)="", "", VLOOKUP($G315, 'Enter DVID'!$A$1:$D$61, 4, FALSE)), "")</f>
        <v/>
      </c>
    </row>
    <row r="316" spans="1:12" x14ac:dyDescent="0.25">
      <c r="G316" s="20" t="s">
        <v>19</v>
      </c>
      <c r="H316" s="34" t="str">
        <f>IFERROR(IF(VLOOKUP($G316, 'Enter DVID'!$A$1:$C$61, 2, FALSE)="", "", VLOOKUP($G316, 'Enter DVID'!$A$1:$C$61, 2, FALSE)), "")</f>
        <v>3</v>
      </c>
      <c r="I316" s="34" t="str">
        <f>IFERROR(IF(VLOOKUP($G316, 'Enter DVID'!$A$1:$C$61, 3, FALSE)="", "", VLOOKUP($G316, 'Enter DVID'!$A$1:$C$61, 3, FALSE)), "")</f>
        <v>A</v>
      </c>
      <c r="K316" s="34" t="str">
        <f>IFERROR(IF(VLOOKUP($G316, 'Enter DVID'!$A$1:$D$61, 4, FALSE)="", "", VLOOKUP($G316, 'Enter DVID'!$A$1:$D$61, 4, FALSE)), "")</f>
        <v>SYS_CLOCK</v>
      </c>
    </row>
    <row r="317" spans="1:12" x14ac:dyDescent="0.25">
      <c r="G317" s="20" t="s">
        <v>263</v>
      </c>
      <c r="H317" s="34" t="str">
        <f>IFERROR(IF(VLOOKUP($G317, 'Enter DVID'!$A$1:$C$61, 2, FALSE)="", "", VLOOKUP($G317, 'Enter DVID'!$A$1:$C$61, 2, FALSE)), "")</f>
        <v>249</v>
      </c>
      <c r="I317" s="34" t="str">
        <f>IFERROR(IF(VLOOKUP($G317, 'Enter DVID'!$A$1:$C$61, 3, FALSE)="", "", VLOOKUP($G317, 'Enter DVID'!$A$1:$C$61, 3, FALSE)), "")</f>
        <v>U1</v>
      </c>
      <c r="K317" s="34" t="str">
        <f>IFERROR(IF(VLOOKUP($G317, 'Enter DVID'!$A$1:$D$61, 4, FALSE)="", "", VLOOKUP($G317, 'Enter DVID'!$A$1:$D$61, 4, FALSE)), "")</f>
        <v>CJ_PROCESSORDERMGMT</v>
      </c>
    </row>
    <row r="318" spans="1:12" x14ac:dyDescent="0.25">
      <c r="G318" s="20" t="s">
        <v>226</v>
      </c>
      <c r="H318" s="34" t="str">
        <f>IFERROR(IF(VLOOKUP($G318, 'Enter DVID'!$A$1:$C$61, 2, FALSE)="", "", VLOOKUP($G318, 'Enter DVID'!$A$1:$C$61, 2, FALSE)), "")</f>
        <v>242</v>
      </c>
      <c r="I318" s="34" t="str">
        <f>IFERROR(IF(VLOOKUP($G318, 'Enter DVID'!$A$1:$C$61, 3, FALSE)="", "", VLOOKUP($G318, 'Enter DVID'!$A$1:$C$61, 3, FALSE)), "")</f>
        <v>List</v>
      </c>
      <c r="K318" s="34" t="str">
        <f>IFERROR(IF(VLOOKUP($G318, 'Enter DVID'!$A$1:$D$61, 4, FALSE)="", "", VLOOKUP($G318, 'Enter DVID'!$A$1:$D$61, 4, FALSE)), "")</f>
        <v>CJ_CARRIERINPUTSPEC</v>
      </c>
    </row>
    <row r="319" spans="1:12" x14ac:dyDescent="0.25">
      <c r="G319" s="20" t="s">
        <v>227</v>
      </c>
      <c r="H319" s="34" t="str">
        <f>IFERROR(IF(VLOOKUP($G319, 'Enter DVID'!$A$1:$C$61, 2, FALSE)="", "", VLOOKUP($G319, 'Enter DVID'!$A$1:$C$61, 2, FALSE)), "")</f>
        <v>243</v>
      </c>
      <c r="I319" s="34" t="str">
        <f>IFERROR(IF(VLOOKUP($G319, 'Enter DVID'!$A$1:$C$61, 3, FALSE)="", "", VLOOKUP($G319, 'Enter DVID'!$A$1:$C$61, 3, FALSE)), "")</f>
        <v>List</v>
      </c>
      <c r="K319" s="34" t="str">
        <f>IFERROR(IF(VLOOKUP($G319, 'Enter DVID'!$A$1:$D$61, 4, FALSE)="", "", VLOOKUP($G319, 'Enter DVID'!$A$1:$D$61, 4, FALSE)), "")</f>
        <v>CJ_CURRENTPRJOB</v>
      </c>
    </row>
    <row r="320" spans="1:12" x14ac:dyDescent="0.25">
      <c r="G320" s="20" t="s">
        <v>228</v>
      </c>
      <c r="H320" s="34" t="str">
        <f>IFERROR(IF(VLOOKUP($G320, 'Enter DVID'!$A$1:$C$61, 2, FALSE)="", "", VLOOKUP($G320, 'Enter DVID'!$A$1:$C$61, 2, FALSE)), "")</f>
        <v>252</v>
      </c>
      <c r="I320" s="34" t="str">
        <f>IFERROR(IF(VLOOKUP($G320, 'Enter DVID'!$A$1:$C$61, 3, FALSE)="", "", VLOOKUP($G320, 'Enter DVID'!$A$1:$C$61, 3, FALSE)), "")</f>
        <v>List</v>
      </c>
      <c r="K320" s="34" t="str">
        <f>IFERROR(IF(VLOOKUP($G320, 'Enter DVID'!$A$1:$D$61, 4, FALSE)="", "", VLOOKUP($G320, 'Enter DVID'!$A$1:$D$61, 4, FALSE)), "")</f>
        <v>CJ_PRJOBSTATUSLIST</v>
      </c>
    </row>
    <row r="322" spans="1:12" ht="16.5" thickBot="1" x14ac:dyDescent="0.3">
      <c r="A322" s="1" t="s">
        <v>14</v>
      </c>
      <c r="B322" s="1" t="s">
        <v>15</v>
      </c>
      <c r="C322" s="3" t="s">
        <v>16</v>
      </c>
      <c r="D322" s="3" t="s">
        <v>122</v>
      </c>
      <c r="E322" s="3" t="s">
        <v>255</v>
      </c>
      <c r="F322" s="15" t="s">
        <v>126</v>
      </c>
      <c r="G322" s="1" t="s">
        <v>123</v>
      </c>
      <c r="H322" s="35" t="s">
        <v>124</v>
      </c>
      <c r="I322" s="35" t="s">
        <v>125</v>
      </c>
      <c r="J322" s="15" t="s">
        <v>100</v>
      </c>
      <c r="K322" s="43" t="s">
        <v>101</v>
      </c>
      <c r="L322" s="15" t="s">
        <v>102</v>
      </c>
    </row>
    <row r="323" spans="1:12" ht="17.25" thickTop="1" thickBot="1" x14ac:dyDescent="0.3">
      <c r="A323" s="4">
        <v>41</v>
      </c>
      <c r="B323" s="2" t="s">
        <v>34</v>
      </c>
      <c r="C323" s="2" t="s">
        <v>35</v>
      </c>
      <c r="D323" s="2" t="s">
        <v>163</v>
      </c>
      <c r="F323" s="62" t="s">
        <v>562</v>
      </c>
      <c r="G323" s="61" t="s">
        <v>0</v>
      </c>
      <c r="H323" s="36" t="str">
        <f>IFERROR(IF(VLOOKUP($G323, 'Enter DVID'!$A$1:$C$61, 2, FALSE)="", "", VLOOKUP($G323, 'Enter DVID'!$A$1:$C$61, 2, FALSE)), "")</f>
        <v>241</v>
      </c>
      <c r="I323" s="63" t="str">
        <f>IFERROR(IF(VLOOKUP($G323, 'Enter DVID'!$A$1:$C$61, 3, FALSE)="", "", VLOOKUP($G323, 'Enter DVID'!$A$1:$C$61, 3, FALSE)), "")</f>
        <v>A</v>
      </c>
      <c r="J323" s="62" t="s">
        <v>561</v>
      </c>
      <c r="K323" s="64" t="str">
        <f>IFERROR(IF(VLOOKUP($G323, 'Enter DVID'!$A$1:$D$61, 4, FALSE)="", "", VLOOKUP($G323, 'Enter DVID'!$A$1:$D$61, 4, FALSE)), "")</f>
        <v>CJ_OBJID</v>
      </c>
    </row>
    <row r="324" spans="1:12" ht="16.5" thickTop="1" x14ac:dyDescent="0.25">
      <c r="C324" s="2" t="s">
        <v>88</v>
      </c>
      <c r="G324" s="19" t="s">
        <v>254</v>
      </c>
      <c r="H324" s="36" t="str">
        <f>IFERROR(IF(VLOOKUP($G324, 'Enter DVID'!$A$1:$C$61, 2, FALSE)="", "", VLOOKUP($G324, 'Enter DVID'!$A$1:$C$61, 2, FALSE)), "")</f>
        <v>251</v>
      </c>
      <c r="I324" s="36" t="str">
        <f>IFERROR(IF(VLOOKUP($G324, 'Enter DVID'!$A$1:$C$61, 3, FALSE)="", "", VLOOKUP($G324, 'Enter DVID'!$A$1:$C$61, 3, FALSE)), "")</f>
        <v>U1</v>
      </c>
      <c r="K324" s="36" t="str">
        <f>IFERROR(IF(VLOOKUP($G324, 'Enter DVID'!$A$1:$D$61, 4, FALSE)="", "", VLOOKUP($G324, 'Enter DVID'!$A$1:$D$61, 4, FALSE)), "")</f>
        <v>CJ_STATE</v>
      </c>
    </row>
    <row r="325" spans="1:12" x14ac:dyDescent="0.25">
      <c r="G325" s="20" t="s">
        <v>18</v>
      </c>
      <c r="H325" s="34" t="str">
        <f>IFERROR(IF(VLOOKUP($G325, 'Enter DVID'!$A$1:$C$61, 2, FALSE)="", "", VLOOKUP($G325, 'Enter DVID'!$A$1:$C$61, 2, FALSE)), "")</f>
        <v/>
      </c>
      <c r="I325" s="34" t="str">
        <f>IFERROR(IF(VLOOKUP($G325, 'Enter DVID'!$A$1:$C$61, 3, FALSE)="", "", VLOOKUP($G325, 'Enter DVID'!$A$1:$C$61, 3, FALSE)), "")</f>
        <v/>
      </c>
      <c r="K325" s="34" t="str">
        <f>IFERROR(IF(VLOOKUP($G325, 'Enter DVID'!$A$1:$D$61, 4, FALSE)="", "", VLOOKUP($G325, 'Enter DVID'!$A$1:$D$61, 4, FALSE)), "")</f>
        <v/>
      </c>
    </row>
    <row r="326" spans="1:12" x14ac:dyDescent="0.25">
      <c r="G326" s="20" t="s">
        <v>19</v>
      </c>
      <c r="H326" s="34" t="str">
        <f>IFERROR(IF(VLOOKUP($G326, 'Enter DVID'!$A$1:$C$61, 2, FALSE)="", "", VLOOKUP($G326, 'Enter DVID'!$A$1:$C$61, 2, FALSE)), "")</f>
        <v>3</v>
      </c>
      <c r="I326" s="34" t="str">
        <f>IFERROR(IF(VLOOKUP($G326, 'Enter DVID'!$A$1:$C$61, 3, FALSE)="", "", VLOOKUP($G326, 'Enter DVID'!$A$1:$C$61, 3, FALSE)), "")</f>
        <v>A</v>
      </c>
      <c r="K326" s="34" t="str">
        <f>IFERROR(IF(VLOOKUP($G326, 'Enter DVID'!$A$1:$D$61, 4, FALSE)="", "", VLOOKUP($G326, 'Enter DVID'!$A$1:$D$61, 4, FALSE)), "")</f>
        <v>SYS_CLOCK</v>
      </c>
    </row>
    <row r="327" spans="1:12" x14ac:dyDescent="0.25">
      <c r="G327" s="20" t="s">
        <v>263</v>
      </c>
      <c r="H327" s="34" t="str">
        <f>IFERROR(IF(VLOOKUP($G327, 'Enter DVID'!$A$1:$C$61, 2, FALSE)="", "", VLOOKUP($G327, 'Enter DVID'!$A$1:$C$61, 2, FALSE)), "")</f>
        <v>249</v>
      </c>
      <c r="I327" s="34" t="str">
        <f>IFERROR(IF(VLOOKUP($G327, 'Enter DVID'!$A$1:$C$61, 3, FALSE)="", "", VLOOKUP($G327, 'Enter DVID'!$A$1:$C$61, 3, FALSE)), "")</f>
        <v>U1</v>
      </c>
      <c r="K327" s="34" t="str">
        <f>IFERROR(IF(VLOOKUP($G327, 'Enter DVID'!$A$1:$D$61, 4, FALSE)="", "", VLOOKUP($G327, 'Enter DVID'!$A$1:$D$61, 4, FALSE)), "")</f>
        <v>CJ_PROCESSORDERMGMT</v>
      </c>
    </row>
    <row r="328" spans="1:12" x14ac:dyDescent="0.25">
      <c r="G328" s="20" t="s">
        <v>226</v>
      </c>
      <c r="H328" s="34" t="str">
        <f>IFERROR(IF(VLOOKUP($G328, 'Enter DVID'!$A$1:$C$61, 2, FALSE)="", "", VLOOKUP($G328, 'Enter DVID'!$A$1:$C$61, 2, FALSE)), "")</f>
        <v>242</v>
      </c>
      <c r="I328" s="34" t="str">
        <f>IFERROR(IF(VLOOKUP($G328, 'Enter DVID'!$A$1:$C$61, 3, FALSE)="", "", VLOOKUP($G328, 'Enter DVID'!$A$1:$C$61, 3, FALSE)), "")</f>
        <v>List</v>
      </c>
      <c r="K328" s="34" t="str">
        <f>IFERROR(IF(VLOOKUP($G328, 'Enter DVID'!$A$1:$D$61, 4, FALSE)="", "", VLOOKUP($G328, 'Enter DVID'!$A$1:$D$61, 4, FALSE)), "")</f>
        <v>CJ_CARRIERINPUTSPEC</v>
      </c>
    </row>
    <row r="329" spans="1:12" x14ac:dyDescent="0.25">
      <c r="G329" s="20" t="s">
        <v>227</v>
      </c>
      <c r="H329" s="34" t="str">
        <f>IFERROR(IF(VLOOKUP($G329, 'Enter DVID'!$A$1:$C$61, 2, FALSE)="", "", VLOOKUP($G329, 'Enter DVID'!$A$1:$C$61, 2, FALSE)), "")</f>
        <v>243</v>
      </c>
      <c r="I329" s="34" t="str">
        <f>IFERROR(IF(VLOOKUP($G329, 'Enter DVID'!$A$1:$C$61, 3, FALSE)="", "", VLOOKUP($G329, 'Enter DVID'!$A$1:$C$61, 3, FALSE)), "")</f>
        <v>List</v>
      </c>
      <c r="K329" s="34" t="str">
        <f>IFERROR(IF(VLOOKUP($G329, 'Enter DVID'!$A$1:$D$61, 4, FALSE)="", "", VLOOKUP($G329, 'Enter DVID'!$A$1:$D$61, 4, FALSE)), "")</f>
        <v>CJ_CURRENTPRJOB</v>
      </c>
    </row>
    <row r="330" spans="1:12" x14ac:dyDescent="0.25">
      <c r="G330" s="20" t="s">
        <v>228</v>
      </c>
      <c r="H330" s="34" t="str">
        <f>IFERROR(IF(VLOOKUP($G330, 'Enter DVID'!$A$1:$C$61, 2, FALSE)="", "", VLOOKUP($G330, 'Enter DVID'!$A$1:$C$61, 2, FALSE)), "")</f>
        <v>252</v>
      </c>
      <c r="I330" s="34" t="str">
        <f>IFERROR(IF(VLOOKUP($G330, 'Enter DVID'!$A$1:$C$61, 3, FALSE)="", "", VLOOKUP($G330, 'Enter DVID'!$A$1:$C$61, 3, FALSE)), "")</f>
        <v>List</v>
      </c>
      <c r="K330" s="34" t="str">
        <f>IFERROR(IF(VLOOKUP($G330, 'Enter DVID'!$A$1:$D$61, 4, FALSE)="", "", VLOOKUP($G330, 'Enter DVID'!$A$1:$D$61, 4, FALSE)), "")</f>
        <v>CJ_PRJOBSTATUSLIST</v>
      </c>
    </row>
    <row r="332" spans="1:12" ht="16.5" thickBot="1" x14ac:dyDescent="0.3">
      <c r="A332" s="1" t="s">
        <v>14</v>
      </c>
      <c r="B332" s="1" t="s">
        <v>15</v>
      </c>
      <c r="C332" s="3" t="s">
        <v>16</v>
      </c>
      <c r="D332" s="3" t="s">
        <v>122</v>
      </c>
      <c r="E332" s="3" t="s">
        <v>255</v>
      </c>
      <c r="F332" s="15" t="s">
        <v>126</v>
      </c>
      <c r="G332" s="1" t="s">
        <v>123</v>
      </c>
      <c r="H332" s="35" t="s">
        <v>124</v>
      </c>
      <c r="I332" s="35" t="s">
        <v>125</v>
      </c>
      <c r="J332" s="15" t="s">
        <v>100</v>
      </c>
      <c r="K332" s="43" t="s">
        <v>101</v>
      </c>
      <c r="L332" s="15" t="s">
        <v>102</v>
      </c>
    </row>
    <row r="333" spans="1:12" ht="17.25" thickTop="1" thickBot="1" x14ac:dyDescent="0.3">
      <c r="A333" s="4">
        <v>42</v>
      </c>
      <c r="B333" s="2" t="s">
        <v>34</v>
      </c>
      <c r="C333" s="2" t="s">
        <v>164</v>
      </c>
      <c r="D333" s="2" t="s">
        <v>162</v>
      </c>
      <c r="F333" s="62" t="s">
        <v>563</v>
      </c>
      <c r="G333" s="61" t="s">
        <v>0</v>
      </c>
      <c r="H333" s="36" t="str">
        <f>IFERROR(IF(VLOOKUP($G333, 'Enter DVID'!$A$1:$C$61, 2, FALSE)="", "", VLOOKUP($G333, 'Enter DVID'!$A$1:$C$61, 2, FALSE)), "")</f>
        <v>241</v>
      </c>
      <c r="I333" s="63" t="str">
        <f>IFERROR(IF(VLOOKUP($G333, 'Enter DVID'!$A$1:$C$61, 3, FALSE)="", "", VLOOKUP($G333, 'Enter DVID'!$A$1:$C$61, 3, FALSE)), "")</f>
        <v>A</v>
      </c>
      <c r="J333" s="62" t="s">
        <v>564</v>
      </c>
      <c r="K333" s="64" t="str">
        <f>IFERROR(IF(VLOOKUP($G333, 'Enter DVID'!$A$1:$D$61, 4, FALSE)="", "", VLOOKUP($G333, 'Enter DVID'!$A$1:$D$61, 4, FALSE)), "")</f>
        <v>CJ_OBJID</v>
      </c>
    </row>
    <row r="334" spans="1:12" ht="16.5" thickTop="1" x14ac:dyDescent="0.25">
      <c r="C334" s="2" t="s">
        <v>165</v>
      </c>
      <c r="G334" s="19" t="s">
        <v>11</v>
      </c>
      <c r="H334" s="36" t="str">
        <f>IFERROR(IF(VLOOKUP($G334, 'Enter DVID'!$A$1:$C$61, 2, FALSE)="", "", VLOOKUP($G334, 'Enter DVID'!$A$1:$C$61, 2, FALSE)), "")</f>
        <v>251</v>
      </c>
      <c r="I334" s="36" t="str">
        <f>IFERROR(IF(VLOOKUP($G334, 'Enter DVID'!$A$1:$C$61, 3, FALSE)="", "", VLOOKUP($G334, 'Enter DVID'!$A$1:$C$61, 3, FALSE)), "")</f>
        <v>U1</v>
      </c>
      <c r="K334" s="36" t="str">
        <f>IFERROR(IF(VLOOKUP($G334, 'Enter DVID'!$A$1:$D$61, 4, FALSE)="", "", VLOOKUP($G334, 'Enter DVID'!$A$1:$D$61, 4, FALSE)), "")</f>
        <v>CJ_STATE</v>
      </c>
    </row>
    <row r="335" spans="1:12" x14ac:dyDescent="0.25">
      <c r="G335" s="20" t="s">
        <v>18</v>
      </c>
      <c r="H335" s="34" t="str">
        <f>IFERROR(IF(VLOOKUP($G335, 'Enter DVID'!$A$1:$C$61, 2, FALSE)="", "", VLOOKUP($G335, 'Enter DVID'!$A$1:$C$61, 2, FALSE)), "")</f>
        <v/>
      </c>
      <c r="I335" s="34" t="str">
        <f>IFERROR(IF(VLOOKUP($G335, 'Enter DVID'!$A$1:$C$61, 3, FALSE)="", "", VLOOKUP($G335, 'Enter DVID'!$A$1:$C$61, 3, FALSE)), "")</f>
        <v/>
      </c>
      <c r="K335" s="34" t="str">
        <f>IFERROR(IF(VLOOKUP($G335, 'Enter DVID'!$A$1:$D$61, 4, FALSE)="", "", VLOOKUP($G335, 'Enter DVID'!$A$1:$D$61, 4, FALSE)), "")</f>
        <v/>
      </c>
    </row>
    <row r="336" spans="1:12" x14ac:dyDescent="0.25">
      <c r="G336" s="20" t="s">
        <v>19</v>
      </c>
      <c r="H336" s="34" t="str">
        <f>IFERROR(IF(VLOOKUP($G336, 'Enter DVID'!$A$1:$C$61, 2, FALSE)="", "", VLOOKUP($G336, 'Enter DVID'!$A$1:$C$61, 2, FALSE)), "")</f>
        <v>3</v>
      </c>
      <c r="I336" s="34" t="str">
        <f>IFERROR(IF(VLOOKUP($G336, 'Enter DVID'!$A$1:$C$61, 3, FALSE)="", "", VLOOKUP($G336, 'Enter DVID'!$A$1:$C$61, 3, FALSE)), "")</f>
        <v>A</v>
      </c>
      <c r="K336" s="34" t="str">
        <f>IFERROR(IF(VLOOKUP($G336, 'Enter DVID'!$A$1:$D$61, 4, FALSE)="", "", VLOOKUP($G336, 'Enter DVID'!$A$1:$D$61, 4, FALSE)), "")</f>
        <v>SYS_CLOCK</v>
      </c>
    </row>
    <row r="337" spans="1:12" x14ac:dyDescent="0.25">
      <c r="G337" s="20" t="s">
        <v>263</v>
      </c>
      <c r="H337" s="34" t="str">
        <f>IFERROR(IF(VLOOKUP($G337, 'Enter DVID'!$A$1:$C$61, 2, FALSE)="", "", VLOOKUP($G337, 'Enter DVID'!$A$1:$C$61, 2, FALSE)), "")</f>
        <v>249</v>
      </c>
      <c r="I337" s="34" t="str">
        <f>IFERROR(IF(VLOOKUP($G337, 'Enter DVID'!$A$1:$C$61, 3, FALSE)="", "", VLOOKUP($G337, 'Enter DVID'!$A$1:$C$61, 3, FALSE)), "")</f>
        <v>U1</v>
      </c>
      <c r="K337" s="34" t="str">
        <f>IFERROR(IF(VLOOKUP($G337, 'Enter DVID'!$A$1:$D$61, 4, FALSE)="", "", VLOOKUP($G337, 'Enter DVID'!$A$1:$D$61, 4, FALSE)), "")</f>
        <v>CJ_PROCESSORDERMGMT</v>
      </c>
    </row>
    <row r="338" spans="1:12" x14ac:dyDescent="0.25">
      <c r="G338" s="20" t="s">
        <v>226</v>
      </c>
      <c r="H338" s="34" t="str">
        <f>IFERROR(IF(VLOOKUP($G338, 'Enter DVID'!$A$1:$C$61, 2, FALSE)="", "", VLOOKUP($G338, 'Enter DVID'!$A$1:$C$61, 2, FALSE)), "")</f>
        <v>242</v>
      </c>
      <c r="I338" s="34" t="str">
        <f>IFERROR(IF(VLOOKUP($G338, 'Enter DVID'!$A$1:$C$61, 3, FALSE)="", "", VLOOKUP($G338, 'Enter DVID'!$A$1:$C$61, 3, FALSE)), "")</f>
        <v>List</v>
      </c>
      <c r="K338" s="34" t="str">
        <f>IFERROR(IF(VLOOKUP($G338, 'Enter DVID'!$A$1:$D$61, 4, FALSE)="", "", VLOOKUP($G338, 'Enter DVID'!$A$1:$D$61, 4, FALSE)), "")</f>
        <v>CJ_CARRIERINPUTSPEC</v>
      </c>
    </row>
    <row r="339" spans="1:12" x14ac:dyDescent="0.25">
      <c r="G339" s="20" t="s">
        <v>227</v>
      </c>
      <c r="H339" s="34" t="str">
        <f>IFERROR(IF(VLOOKUP($G339, 'Enter DVID'!$A$1:$C$61, 2, FALSE)="", "", VLOOKUP($G339, 'Enter DVID'!$A$1:$C$61, 2, FALSE)), "")</f>
        <v>243</v>
      </c>
      <c r="I339" s="34" t="str">
        <f>IFERROR(IF(VLOOKUP($G339, 'Enter DVID'!$A$1:$C$61, 3, FALSE)="", "", VLOOKUP($G339, 'Enter DVID'!$A$1:$C$61, 3, FALSE)), "")</f>
        <v>List</v>
      </c>
      <c r="K339" s="34" t="str">
        <f>IFERROR(IF(VLOOKUP($G339, 'Enter DVID'!$A$1:$D$61, 4, FALSE)="", "", VLOOKUP($G339, 'Enter DVID'!$A$1:$D$61, 4, FALSE)), "")</f>
        <v>CJ_CURRENTPRJOB</v>
      </c>
    </row>
    <row r="340" spans="1:12" x14ac:dyDescent="0.25">
      <c r="G340" s="20" t="s">
        <v>228</v>
      </c>
      <c r="H340" s="34" t="str">
        <f>IFERROR(IF(VLOOKUP($G340, 'Enter DVID'!$A$1:$C$61, 2, FALSE)="", "", VLOOKUP($G340, 'Enter DVID'!$A$1:$C$61, 2, FALSE)), "")</f>
        <v>252</v>
      </c>
      <c r="I340" s="34" t="str">
        <f>IFERROR(IF(VLOOKUP($G340, 'Enter DVID'!$A$1:$C$61, 3, FALSE)="", "", VLOOKUP($G340, 'Enter DVID'!$A$1:$C$61, 3, FALSE)), "")</f>
        <v>List</v>
      </c>
      <c r="K340" s="34" t="str">
        <f>IFERROR(IF(VLOOKUP($G340, 'Enter DVID'!$A$1:$D$61, 4, FALSE)="", "", VLOOKUP($G340, 'Enter DVID'!$A$1:$D$61, 4, FALSE)), "")</f>
        <v>CJ_PRJOBSTATUSLIST</v>
      </c>
    </row>
    <row r="342" spans="1:12" ht="16.5" thickBot="1" x14ac:dyDescent="0.3">
      <c r="A342" s="1" t="s">
        <v>14</v>
      </c>
      <c r="B342" s="1" t="s">
        <v>15</v>
      </c>
      <c r="C342" s="3" t="s">
        <v>16</v>
      </c>
      <c r="D342" s="3" t="s">
        <v>122</v>
      </c>
      <c r="E342" s="3" t="s">
        <v>255</v>
      </c>
      <c r="F342" s="15" t="s">
        <v>126</v>
      </c>
      <c r="G342" s="1" t="s">
        <v>123</v>
      </c>
      <c r="H342" s="35" t="s">
        <v>124</v>
      </c>
      <c r="I342" s="35" t="s">
        <v>125</v>
      </c>
      <c r="J342" s="15" t="s">
        <v>100</v>
      </c>
      <c r="K342" s="43" t="s">
        <v>101</v>
      </c>
      <c r="L342" s="15" t="s">
        <v>102</v>
      </c>
    </row>
    <row r="343" spans="1:12" ht="17.25" thickTop="1" thickBot="1" x14ac:dyDescent="0.3">
      <c r="A343" s="4">
        <v>43</v>
      </c>
      <c r="B343" s="2" t="s">
        <v>34</v>
      </c>
      <c r="C343" s="2" t="s">
        <v>166</v>
      </c>
      <c r="D343" s="2" t="s">
        <v>137</v>
      </c>
      <c r="E343" s="2" t="s">
        <v>36</v>
      </c>
      <c r="F343" s="62" t="s">
        <v>565</v>
      </c>
      <c r="G343" s="61" t="s">
        <v>0</v>
      </c>
      <c r="H343" s="36" t="str">
        <f>IFERROR(IF(VLOOKUP($G343, 'Enter DVID'!$A$1:$C$61, 2, FALSE)="", "", VLOOKUP($G343, 'Enter DVID'!$A$1:$C$61, 2, FALSE)), "")</f>
        <v>241</v>
      </c>
      <c r="I343" s="63" t="str">
        <f>IFERROR(IF(VLOOKUP($G343, 'Enter DVID'!$A$1:$C$61, 3, FALSE)="", "", VLOOKUP($G343, 'Enter DVID'!$A$1:$C$61, 3, FALSE)), "")</f>
        <v>A</v>
      </c>
      <c r="J343" s="62" t="s">
        <v>566</v>
      </c>
      <c r="K343" s="64" t="str">
        <f>IFERROR(IF(VLOOKUP($G343, 'Enter DVID'!$A$1:$D$61, 4, FALSE)="", "", VLOOKUP($G343, 'Enter DVID'!$A$1:$D$61, 4, FALSE)), "")</f>
        <v>CJ_OBJID</v>
      </c>
    </row>
    <row r="344" spans="1:12" ht="16.5" thickTop="1" x14ac:dyDescent="0.25">
      <c r="C344" s="2" t="s">
        <v>135</v>
      </c>
      <c r="G344" s="19" t="s">
        <v>11</v>
      </c>
      <c r="H344" s="36" t="str">
        <f>IFERROR(IF(VLOOKUP($G344, 'Enter DVID'!$A$1:$C$61, 2, FALSE)="", "", VLOOKUP($G344, 'Enter DVID'!$A$1:$C$61, 2, FALSE)), "")</f>
        <v>251</v>
      </c>
      <c r="I344" s="36" t="str">
        <f>IFERROR(IF(VLOOKUP($G344, 'Enter DVID'!$A$1:$C$61, 3, FALSE)="", "", VLOOKUP($G344, 'Enter DVID'!$A$1:$C$61, 3, FALSE)), "")</f>
        <v>U1</v>
      </c>
      <c r="K344" s="36" t="str">
        <f>IFERROR(IF(VLOOKUP($G344, 'Enter DVID'!$A$1:$D$61, 4, FALSE)="", "", VLOOKUP($G344, 'Enter DVID'!$A$1:$D$61, 4, FALSE)), "")</f>
        <v>CJ_STATE</v>
      </c>
    </row>
    <row r="345" spans="1:12" x14ac:dyDescent="0.25">
      <c r="G345" s="20" t="s">
        <v>18</v>
      </c>
      <c r="H345" s="34" t="str">
        <f>IFERROR(IF(VLOOKUP($G345, 'Enter DVID'!$A$1:$C$61, 2, FALSE)="", "", VLOOKUP($G345, 'Enter DVID'!$A$1:$C$61, 2, FALSE)), "")</f>
        <v/>
      </c>
      <c r="I345" s="34" t="str">
        <f>IFERROR(IF(VLOOKUP($G345, 'Enter DVID'!$A$1:$C$61, 3, FALSE)="", "", VLOOKUP($G345, 'Enter DVID'!$A$1:$C$61, 3, FALSE)), "")</f>
        <v/>
      </c>
      <c r="K345" s="34" t="str">
        <f>IFERROR(IF(VLOOKUP($G345, 'Enter DVID'!$A$1:$D$61, 4, FALSE)="", "", VLOOKUP($G345, 'Enter DVID'!$A$1:$D$61, 4, FALSE)), "")</f>
        <v/>
      </c>
    </row>
    <row r="346" spans="1:12" x14ac:dyDescent="0.25">
      <c r="G346" s="20" t="s">
        <v>19</v>
      </c>
      <c r="H346" s="34" t="str">
        <f>IFERROR(IF(VLOOKUP($G346, 'Enter DVID'!$A$1:$C$61, 2, FALSE)="", "", VLOOKUP($G346, 'Enter DVID'!$A$1:$C$61, 2, FALSE)), "")</f>
        <v>3</v>
      </c>
      <c r="I346" s="34" t="str">
        <f>IFERROR(IF(VLOOKUP($G346, 'Enter DVID'!$A$1:$C$61, 3, FALSE)="", "", VLOOKUP($G346, 'Enter DVID'!$A$1:$C$61, 3, FALSE)), "")</f>
        <v>A</v>
      </c>
      <c r="K346" s="34" t="str">
        <f>IFERROR(IF(VLOOKUP($G346, 'Enter DVID'!$A$1:$D$61, 4, FALSE)="", "", VLOOKUP($G346, 'Enter DVID'!$A$1:$D$61, 4, FALSE)), "")</f>
        <v>SYS_CLOCK</v>
      </c>
    </row>
    <row r="347" spans="1:12" x14ac:dyDescent="0.25">
      <c r="G347" s="20" t="s">
        <v>263</v>
      </c>
      <c r="H347" s="34" t="str">
        <f>IFERROR(IF(VLOOKUP($G347, 'Enter DVID'!$A$1:$C$61, 2, FALSE)="", "", VLOOKUP($G347, 'Enter DVID'!$A$1:$C$61, 2, FALSE)), "")</f>
        <v>249</v>
      </c>
      <c r="I347" s="34" t="str">
        <f>IFERROR(IF(VLOOKUP($G347, 'Enter DVID'!$A$1:$C$61, 3, FALSE)="", "", VLOOKUP($G347, 'Enter DVID'!$A$1:$C$61, 3, FALSE)), "")</f>
        <v>U1</v>
      </c>
      <c r="K347" s="34" t="str">
        <f>IFERROR(IF(VLOOKUP($G347, 'Enter DVID'!$A$1:$D$61, 4, FALSE)="", "", VLOOKUP($G347, 'Enter DVID'!$A$1:$D$61, 4, FALSE)), "")</f>
        <v>CJ_PROCESSORDERMGMT</v>
      </c>
    </row>
    <row r="348" spans="1:12" x14ac:dyDescent="0.25">
      <c r="G348" s="20" t="s">
        <v>226</v>
      </c>
      <c r="H348" s="34" t="str">
        <f>IFERROR(IF(VLOOKUP($G348, 'Enter DVID'!$A$1:$C$61, 2, FALSE)="", "", VLOOKUP($G348, 'Enter DVID'!$A$1:$C$61, 2, FALSE)), "")</f>
        <v>242</v>
      </c>
      <c r="I348" s="34" t="str">
        <f>IFERROR(IF(VLOOKUP($G348, 'Enter DVID'!$A$1:$C$61, 3, FALSE)="", "", VLOOKUP($G348, 'Enter DVID'!$A$1:$C$61, 3, FALSE)), "")</f>
        <v>List</v>
      </c>
      <c r="K348" s="34" t="str">
        <f>IFERROR(IF(VLOOKUP($G348, 'Enter DVID'!$A$1:$D$61, 4, FALSE)="", "", VLOOKUP($G348, 'Enter DVID'!$A$1:$D$61, 4, FALSE)), "")</f>
        <v>CJ_CARRIERINPUTSPEC</v>
      </c>
    </row>
    <row r="349" spans="1:12" x14ac:dyDescent="0.25">
      <c r="G349" s="20" t="s">
        <v>227</v>
      </c>
      <c r="H349" s="34" t="str">
        <f>IFERROR(IF(VLOOKUP($G349, 'Enter DVID'!$A$1:$C$61, 2, FALSE)="", "", VLOOKUP($G349, 'Enter DVID'!$A$1:$C$61, 2, FALSE)), "")</f>
        <v>243</v>
      </c>
      <c r="I349" s="34" t="str">
        <f>IFERROR(IF(VLOOKUP($G349, 'Enter DVID'!$A$1:$C$61, 3, FALSE)="", "", VLOOKUP($G349, 'Enter DVID'!$A$1:$C$61, 3, FALSE)), "")</f>
        <v>List</v>
      </c>
      <c r="K349" s="34" t="str">
        <f>IFERROR(IF(VLOOKUP($G349, 'Enter DVID'!$A$1:$D$61, 4, FALSE)="", "", VLOOKUP($G349, 'Enter DVID'!$A$1:$D$61, 4, FALSE)), "")</f>
        <v>CJ_CURRENTPRJOB</v>
      </c>
    </row>
    <row r="350" spans="1:12" x14ac:dyDescent="0.25">
      <c r="G350" s="20" t="s">
        <v>228</v>
      </c>
      <c r="H350" s="34" t="str">
        <f>IFERROR(IF(VLOOKUP($G350, 'Enter DVID'!$A$1:$C$61, 2, FALSE)="", "", VLOOKUP($G350, 'Enter DVID'!$A$1:$C$61, 2, FALSE)), "")</f>
        <v>252</v>
      </c>
      <c r="I350" s="34" t="str">
        <f>IFERROR(IF(VLOOKUP($G350, 'Enter DVID'!$A$1:$C$61, 3, FALSE)="", "", VLOOKUP($G350, 'Enter DVID'!$A$1:$C$61, 3, FALSE)), "")</f>
        <v>List</v>
      </c>
      <c r="K350" s="34" t="str">
        <f>IFERROR(IF(VLOOKUP($G350, 'Enter DVID'!$A$1:$D$61, 4, FALSE)="", "", VLOOKUP($G350, 'Enter DVID'!$A$1:$D$61, 4, FALSE)), "")</f>
        <v>CJ_PRJOBSTATUSLIST</v>
      </c>
    </row>
    <row r="352" spans="1:12" ht="16.5" thickBot="1" x14ac:dyDescent="0.3">
      <c r="A352" s="1" t="s">
        <v>14</v>
      </c>
      <c r="B352" s="1" t="s">
        <v>15</v>
      </c>
      <c r="C352" s="3" t="s">
        <v>16</v>
      </c>
      <c r="D352" s="3" t="s">
        <v>122</v>
      </c>
      <c r="E352" s="3" t="s">
        <v>255</v>
      </c>
      <c r="F352" s="15" t="s">
        <v>126</v>
      </c>
      <c r="G352" s="1" t="s">
        <v>123</v>
      </c>
      <c r="H352" s="35" t="s">
        <v>124</v>
      </c>
      <c r="I352" s="35" t="s">
        <v>125</v>
      </c>
      <c r="J352" s="15" t="s">
        <v>100</v>
      </c>
      <c r="K352" s="43" t="s">
        <v>101</v>
      </c>
      <c r="L352" s="15" t="s">
        <v>102</v>
      </c>
    </row>
    <row r="353" spans="1:12" ht="17.25" thickTop="1" thickBot="1" x14ac:dyDescent="0.3">
      <c r="A353" s="4">
        <v>44</v>
      </c>
      <c r="B353" s="2" t="s">
        <v>34</v>
      </c>
      <c r="C353" s="2" t="s">
        <v>167</v>
      </c>
      <c r="D353" s="2" t="s">
        <v>138</v>
      </c>
      <c r="E353" s="2" t="s">
        <v>36</v>
      </c>
      <c r="F353" s="62" t="s">
        <v>567</v>
      </c>
      <c r="G353" s="61" t="s">
        <v>0</v>
      </c>
      <c r="H353" s="36" t="str">
        <f>IFERROR(IF(VLOOKUP($G353, 'Enter DVID'!$A$1:$C$61, 2, FALSE)="", "", VLOOKUP($G353, 'Enter DVID'!$A$1:$C$61, 2, FALSE)), "")</f>
        <v>241</v>
      </c>
      <c r="I353" s="63" t="str">
        <f>IFERROR(IF(VLOOKUP($G353, 'Enter DVID'!$A$1:$C$61, 3, FALSE)="", "", VLOOKUP($G353, 'Enter DVID'!$A$1:$C$61, 3, FALSE)), "")</f>
        <v>A</v>
      </c>
      <c r="J353" s="62" t="s">
        <v>568</v>
      </c>
      <c r="K353" s="64" t="str">
        <f>IFERROR(IF(VLOOKUP($G353, 'Enter DVID'!$A$1:$D$61, 4, FALSE)="", "", VLOOKUP($G353, 'Enter DVID'!$A$1:$D$61, 4, FALSE)), "")</f>
        <v>CJ_OBJID</v>
      </c>
    </row>
    <row r="354" spans="1:12" ht="16.5" thickTop="1" x14ac:dyDescent="0.25">
      <c r="C354" s="2" t="s">
        <v>136</v>
      </c>
      <c r="G354" s="19" t="s">
        <v>11</v>
      </c>
      <c r="H354" s="36" t="str">
        <f>IFERROR(IF(VLOOKUP($G354, 'Enter DVID'!$A$1:$C$61, 2, FALSE)="", "", VLOOKUP($G354, 'Enter DVID'!$A$1:$C$61, 2, FALSE)), "")</f>
        <v>251</v>
      </c>
      <c r="I354" s="36" t="str">
        <f>IFERROR(IF(VLOOKUP($G354, 'Enter DVID'!$A$1:$C$61, 3, FALSE)="", "", VLOOKUP($G354, 'Enter DVID'!$A$1:$C$61, 3, FALSE)), "")</f>
        <v>U1</v>
      </c>
      <c r="K354" s="36" t="str">
        <f>IFERROR(IF(VLOOKUP($G354, 'Enter DVID'!$A$1:$D$61, 4, FALSE)="", "", VLOOKUP($G354, 'Enter DVID'!$A$1:$D$61, 4, FALSE)), "")</f>
        <v>CJ_STATE</v>
      </c>
    </row>
    <row r="355" spans="1:12" x14ac:dyDescent="0.25">
      <c r="G355" s="20" t="s">
        <v>18</v>
      </c>
      <c r="H355" s="34" t="str">
        <f>IFERROR(IF(VLOOKUP($G355, 'Enter DVID'!$A$1:$C$61, 2, FALSE)="", "", VLOOKUP($G355, 'Enter DVID'!$A$1:$C$61, 2, FALSE)), "")</f>
        <v/>
      </c>
      <c r="I355" s="34" t="str">
        <f>IFERROR(IF(VLOOKUP($G355, 'Enter DVID'!$A$1:$C$61, 3, FALSE)="", "", VLOOKUP($G355, 'Enter DVID'!$A$1:$C$61, 3, FALSE)), "")</f>
        <v/>
      </c>
      <c r="K355" s="34" t="str">
        <f>IFERROR(IF(VLOOKUP($G355, 'Enter DVID'!$A$1:$D$61, 4, FALSE)="", "", VLOOKUP($G355, 'Enter DVID'!$A$1:$D$61, 4, FALSE)), "")</f>
        <v/>
      </c>
    </row>
    <row r="356" spans="1:12" x14ac:dyDescent="0.25">
      <c r="G356" s="20" t="s">
        <v>19</v>
      </c>
      <c r="H356" s="34" t="str">
        <f>IFERROR(IF(VLOOKUP($G356, 'Enter DVID'!$A$1:$C$61, 2, FALSE)="", "", VLOOKUP($G356, 'Enter DVID'!$A$1:$C$61, 2, FALSE)), "")</f>
        <v>3</v>
      </c>
      <c r="I356" s="34" t="str">
        <f>IFERROR(IF(VLOOKUP($G356, 'Enter DVID'!$A$1:$C$61, 3, FALSE)="", "", VLOOKUP($G356, 'Enter DVID'!$A$1:$C$61, 3, FALSE)), "")</f>
        <v>A</v>
      </c>
      <c r="K356" s="34" t="str">
        <f>IFERROR(IF(VLOOKUP($G356, 'Enter DVID'!$A$1:$D$61, 4, FALSE)="", "", VLOOKUP($G356, 'Enter DVID'!$A$1:$D$61, 4, FALSE)), "")</f>
        <v>SYS_CLOCK</v>
      </c>
    </row>
    <row r="357" spans="1:12" x14ac:dyDescent="0.25">
      <c r="G357" s="20" t="s">
        <v>263</v>
      </c>
      <c r="H357" s="34" t="str">
        <f>IFERROR(IF(VLOOKUP($G357, 'Enter DVID'!$A$1:$C$61, 2, FALSE)="", "", VLOOKUP($G357, 'Enter DVID'!$A$1:$C$61, 2, FALSE)), "")</f>
        <v>249</v>
      </c>
      <c r="I357" s="34" t="str">
        <f>IFERROR(IF(VLOOKUP($G357, 'Enter DVID'!$A$1:$C$61, 3, FALSE)="", "", VLOOKUP($G357, 'Enter DVID'!$A$1:$C$61, 3, FALSE)), "")</f>
        <v>U1</v>
      </c>
      <c r="K357" s="34" t="str">
        <f>IFERROR(IF(VLOOKUP($G357, 'Enter DVID'!$A$1:$D$61, 4, FALSE)="", "", VLOOKUP($G357, 'Enter DVID'!$A$1:$D$61, 4, FALSE)), "")</f>
        <v>CJ_PROCESSORDERMGMT</v>
      </c>
    </row>
    <row r="358" spans="1:12" x14ac:dyDescent="0.25">
      <c r="G358" s="20" t="s">
        <v>226</v>
      </c>
      <c r="H358" s="34" t="str">
        <f>IFERROR(IF(VLOOKUP($G358, 'Enter DVID'!$A$1:$C$61, 2, FALSE)="", "", VLOOKUP($G358, 'Enter DVID'!$A$1:$C$61, 2, FALSE)), "")</f>
        <v>242</v>
      </c>
      <c r="I358" s="34" t="str">
        <f>IFERROR(IF(VLOOKUP($G358, 'Enter DVID'!$A$1:$C$61, 3, FALSE)="", "", VLOOKUP($G358, 'Enter DVID'!$A$1:$C$61, 3, FALSE)), "")</f>
        <v>List</v>
      </c>
      <c r="K358" s="34" t="str">
        <f>IFERROR(IF(VLOOKUP($G358, 'Enter DVID'!$A$1:$D$61, 4, FALSE)="", "", VLOOKUP($G358, 'Enter DVID'!$A$1:$D$61, 4, FALSE)), "")</f>
        <v>CJ_CARRIERINPUTSPEC</v>
      </c>
    </row>
    <row r="359" spans="1:12" x14ac:dyDescent="0.25">
      <c r="G359" s="20" t="s">
        <v>227</v>
      </c>
      <c r="H359" s="34" t="str">
        <f>IFERROR(IF(VLOOKUP($G359, 'Enter DVID'!$A$1:$C$61, 2, FALSE)="", "", VLOOKUP($G359, 'Enter DVID'!$A$1:$C$61, 2, FALSE)), "")</f>
        <v>243</v>
      </c>
      <c r="I359" s="34" t="str">
        <f>IFERROR(IF(VLOOKUP($G359, 'Enter DVID'!$A$1:$C$61, 3, FALSE)="", "", VLOOKUP($G359, 'Enter DVID'!$A$1:$C$61, 3, FALSE)), "")</f>
        <v>List</v>
      </c>
      <c r="K359" s="34" t="str">
        <f>IFERROR(IF(VLOOKUP($G359, 'Enter DVID'!$A$1:$D$61, 4, FALSE)="", "", VLOOKUP($G359, 'Enter DVID'!$A$1:$D$61, 4, FALSE)), "")</f>
        <v>CJ_CURRENTPRJOB</v>
      </c>
    </row>
    <row r="360" spans="1:12" x14ac:dyDescent="0.25">
      <c r="G360" s="20" t="s">
        <v>228</v>
      </c>
      <c r="H360" s="34" t="str">
        <f>IFERROR(IF(VLOOKUP($G360, 'Enter DVID'!$A$1:$C$61, 2, FALSE)="", "", VLOOKUP($G360, 'Enter DVID'!$A$1:$C$61, 2, FALSE)), "")</f>
        <v>252</v>
      </c>
      <c r="I360" s="34" t="str">
        <f>IFERROR(IF(VLOOKUP($G360, 'Enter DVID'!$A$1:$C$61, 3, FALSE)="", "", VLOOKUP($G360, 'Enter DVID'!$A$1:$C$61, 3, FALSE)), "")</f>
        <v>List</v>
      </c>
      <c r="K360" s="34" t="str">
        <f>IFERROR(IF(VLOOKUP($G360, 'Enter DVID'!$A$1:$D$61, 4, FALSE)="", "", VLOOKUP($G360, 'Enter DVID'!$A$1:$D$61, 4, FALSE)), "")</f>
        <v>CJ_PRJOBSTATUSLIST</v>
      </c>
    </row>
    <row r="362" spans="1:12" ht="16.5" thickBot="1" x14ac:dyDescent="0.3">
      <c r="A362" s="1" t="s">
        <v>14</v>
      </c>
      <c r="B362" s="1" t="s">
        <v>15</v>
      </c>
      <c r="C362" s="3" t="s">
        <v>16</v>
      </c>
      <c r="D362" s="3" t="s">
        <v>122</v>
      </c>
      <c r="E362" s="3" t="s">
        <v>255</v>
      </c>
      <c r="F362" s="15" t="s">
        <v>126</v>
      </c>
      <c r="G362" s="1" t="s">
        <v>123</v>
      </c>
      <c r="H362" s="35" t="s">
        <v>124</v>
      </c>
      <c r="I362" s="35" t="s">
        <v>125</v>
      </c>
      <c r="J362" s="15" t="s">
        <v>100</v>
      </c>
      <c r="K362" s="43" t="s">
        <v>101</v>
      </c>
      <c r="L362" s="15" t="s">
        <v>102</v>
      </c>
    </row>
    <row r="363" spans="1:12" ht="17.25" thickTop="1" thickBot="1" x14ac:dyDescent="0.3">
      <c r="A363" s="4">
        <v>45</v>
      </c>
      <c r="B363" s="2" t="s">
        <v>34</v>
      </c>
      <c r="C363" s="5" t="s">
        <v>45</v>
      </c>
      <c r="D363" s="2" t="s">
        <v>168</v>
      </c>
      <c r="E363" s="2" t="s">
        <v>46</v>
      </c>
      <c r="F363" s="62" t="s">
        <v>569</v>
      </c>
      <c r="G363" s="61" t="s">
        <v>0</v>
      </c>
      <c r="H363" s="36" t="str">
        <f>IFERROR(IF(VLOOKUP($G363, 'Enter DVID'!$A$1:$C$61, 2, FALSE)="", "", VLOOKUP($G363, 'Enter DVID'!$A$1:$C$61, 2, FALSE)), "")</f>
        <v>241</v>
      </c>
      <c r="I363" s="63" t="str">
        <f>IFERROR(IF(VLOOKUP($G363, 'Enter DVID'!$A$1:$C$61, 3, FALSE)="", "", VLOOKUP($G363, 'Enter DVID'!$A$1:$C$61, 3, FALSE)), "")</f>
        <v>A</v>
      </c>
      <c r="J363" s="62" t="s">
        <v>570</v>
      </c>
      <c r="K363" s="64" t="str">
        <f>IFERROR(IF(VLOOKUP($G363, 'Enter DVID'!$A$1:$D$61, 4, FALSE)="", "", VLOOKUP($G363, 'Enter DVID'!$A$1:$D$61, 4, FALSE)), "")</f>
        <v>CJ_OBJID</v>
      </c>
    </row>
    <row r="364" spans="1:12" ht="16.5" thickTop="1" x14ac:dyDescent="0.25">
      <c r="C364" s="2" t="s">
        <v>91</v>
      </c>
      <c r="G364" s="19" t="s">
        <v>11</v>
      </c>
      <c r="H364" s="36" t="str">
        <f>IFERROR(IF(VLOOKUP($G364, 'Enter DVID'!$A$1:$C$61, 2, FALSE)="", "", VLOOKUP($G364, 'Enter DVID'!$A$1:$C$61, 2, FALSE)), "")</f>
        <v>251</v>
      </c>
      <c r="I364" s="36" t="str">
        <f>IFERROR(IF(VLOOKUP($G364, 'Enter DVID'!$A$1:$C$61, 3, FALSE)="", "", VLOOKUP($G364, 'Enter DVID'!$A$1:$C$61, 3, FALSE)), "")</f>
        <v>U1</v>
      </c>
      <c r="K364" s="36" t="str">
        <f>IFERROR(IF(VLOOKUP($G364, 'Enter DVID'!$A$1:$D$61, 4, FALSE)="", "", VLOOKUP($G364, 'Enter DVID'!$A$1:$D$61, 4, FALSE)), "")</f>
        <v>CJ_STATE</v>
      </c>
    </row>
    <row r="365" spans="1:12" x14ac:dyDescent="0.25">
      <c r="G365" s="20" t="s">
        <v>230</v>
      </c>
      <c r="H365" s="34" t="str">
        <f>IFERROR(IF(VLOOKUP($G365, 'Enter DVID'!$A$1:$C$61, 2, FALSE)="", "", VLOOKUP($G365, 'Enter DVID'!$A$1:$C$61, 2, FALSE)), "")</f>
        <v>4162</v>
      </c>
      <c r="I365" s="34" t="str">
        <f>IFERROR(IF(VLOOKUP($G365, 'Enter DVID'!$A$1:$C$61, 3, FALSE)="", "", VLOOKUP($G365, 'Enter DVID'!$A$1:$C$61, 3, FALSE)), "")</f>
        <v>U1</v>
      </c>
      <c r="K365" s="34" t="str">
        <f>IFERROR(IF(VLOOKUP($G365, 'Enter DVID'!$A$1:$D$61, 4, FALSE)="", "", VLOOKUP($G365, 'Enter DVID'!$A$1:$D$61, 4, FALSE)), "")</f>
        <v>CJPROCESSEDNORMALLY_WAFERCOUNT</v>
      </c>
    </row>
    <row r="366" spans="1:12" x14ac:dyDescent="0.25">
      <c r="G366" s="20" t="s">
        <v>229</v>
      </c>
      <c r="H366" s="34" t="str">
        <f>IFERROR(IF(VLOOKUP($G366, 'Enter DVID'!$A$1:$C$61, 2, FALSE)="", "", VLOOKUP($G366, 'Enter DVID'!$A$1:$C$61, 2, FALSE)), "")</f>
        <v>4163</v>
      </c>
      <c r="I366" s="34" t="str">
        <f>IFERROR(IF(VLOOKUP($G366, 'Enter DVID'!$A$1:$C$61, 3, FALSE)="", "", VLOOKUP($G366, 'Enter DVID'!$A$1:$C$61, 3, FALSE)), "")</f>
        <v>U1</v>
      </c>
      <c r="K366" s="34" t="str">
        <f>IFERROR(IF(VLOOKUP($G366, 'Enter DVID'!$A$1:$D$61, 4, FALSE)="", "", VLOOKUP($G366, 'Enter DVID'!$A$1:$D$61, 4, FALSE)), "")</f>
        <v>CJABORTED_WAFERCCOUNT</v>
      </c>
    </row>
    <row r="367" spans="1:12" x14ac:dyDescent="0.25">
      <c r="G367" s="20" t="s">
        <v>5</v>
      </c>
      <c r="H367" s="34" t="str">
        <f>IFERROR(IF(VLOOKUP($G367, 'Enter DVID'!$A$1:$C$61, 2, FALSE)="", "", VLOOKUP($G367, 'Enter DVID'!$A$1:$C$61, 2, FALSE)), "")</f>
        <v/>
      </c>
      <c r="I367" s="34" t="str">
        <f>IFERROR(IF(VLOOKUP($G367, 'Enter DVID'!$A$1:$C$61, 3, FALSE)="", "", VLOOKUP($G367, 'Enter DVID'!$A$1:$C$61, 3, FALSE)), "")</f>
        <v/>
      </c>
      <c r="K367" s="34" t="str">
        <f>IFERROR(IF(VLOOKUP($G367, 'Enter DVID'!$A$1:$D$61, 4, FALSE)="", "", VLOOKUP($G367, 'Enter DVID'!$A$1:$D$61, 4, FALSE)), "")</f>
        <v/>
      </c>
    </row>
    <row r="368" spans="1:12" x14ac:dyDescent="0.25">
      <c r="G368" s="20" t="s">
        <v>19</v>
      </c>
      <c r="H368" s="34" t="str">
        <f>IFERROR(IF(VLOOKUP($G368, 'Enter DVID'!$A$1:$C$61, 2, FALSE)="", "", VLOOKUP($G368, 'Enter DVID'!$A$1:$C$61, 2, FALSE)), "")</f>
        <v>3</v>
      </c>
      <c r="I368" s="34" t="str">
        <f>IFERROR(IF(VLOOKUP($G368, 'Enter DVID'!$A$1:$C$61, 3, FALSE)="", "", VLOOKUP($G368, 'Enter DVID'!$A$1:$C$61, 3, FALSE)), "")</f>
        <v>A</v>
      </c>
      <c r="K368" s="34" t="str">
        <f>IFERROR(IF(VLOOKUP($G368, 'Enter DVID'!$A$1:$D$61, 4, FALSE)="", "", VLOOKUP($G368, 'Enter DVID'!$A$1:$D$61, 4, FALSE)), "")</f>
        <v>SYS_CLOCK</v>
      </c>
    </row>
    <row r="369" spans="1:12" x14ac:dyDescent="0.25">
      <c r="G369" s="20" t="s">
        <v>263</v>
      </c>
      <c r="H369" s="34" t="str">
        <f>IFERROR(IF(VLOOKUP($G369, 'Enter DVID'!$A$1:$C$61, 2, FALSE)="", "", VLOOKUP($G369, 'Enter DVID'!$A$1:$C$61, 2, FALSE)), "")</f>
        <v>249</v>
      </c>
      <c r="I369" s="34" t="str">
        <f>IFERROR(IF(VLOOKUP($G369, 'Enter DVID'!$A$1:$C$61, 3, FALSE)="", "", VLOOKUP($G369, 'Enter DVID'!$A$1:$C$61, 3, FALSE)), "")</f>
        <v>U1</v>
      </c>
      <c r="K369" s="34" t="str">
        <f>IFERROR(IF(VLOOKUP($G369, 'Enter DVID'!$A$1:$D$61, 4, FALSE)="", "", VLOOKUP($G369, 'Enter DVID'!$A$1:$D$61, 4, FALSE)), "")</f>
        <v>CJ_PROCESSORDERMGMT</v>
      </c>
    </row>
    <row r="370" spans="1:12" x14ac:dyDescent="0.25">
      <c r="G370" s="20" t="s">
        <v>226</v>
      </c>
      <c r="H370" s="34" t="str">
        <f>IFERROR(IF(VLOOKUP($G370, 'Enter DVID'!$A$1:$C$61, 2, FALSE)="", "", VLOOKUP($G370, 'Enter DVID'!$A$1:$C$61, 2, FALSE)), "")</f>
        <v>242</v>
      </c>
      <c r="I370" s="34" t="str">
        <f>IFERROR(IF(VLOOKUP($G370, 'Enter DVID'!$A$1:$C$61, 3, FALSE)="", "", VLOOKUP($G370, 'Enter DVID'!$A$1:$C$61, 3, FALSE)), "")</f>
        <v>List</v>
      </c>
      <c r="K370" s="34" t="str">
        <f>IFERROR(IF(VLOOKUP($G370, 'Enter DVID'!$A$1:$D$61, 4, FALSE)="", "", VLOOKUP($G370, 'Enter DVID'!$A$1:$D$61, 4, FALSE)), "")</f>
        <v>CJ_CARRIERINPUTSPEC</v>
      </c>
    </row>
    <row r="371" spans="1:12" x14ac:dyDescent="0.25">
      <c r="G371" s="20" t="s">
        <v>227</v>
      </c>
      <c r="H371" s="34" t="str">
        <f>IFERROR(IF(VLOOKUP($G371, 'Enter DVID'!$A$1:$C$61, 2, FALSE)="", "", VLOOKUP($G371, 'Enter DVID'!$A$1:$C$61, 2, FALSE)), "")</f>
        <v>243</v>
      </c>
      <c r="I371" s="34" t="str">
        <f>IFERROR(IF(VLOOKUP($G371, 'Enter DVID'!$A$1:$C$61, 3, FALSE)="", "", VLOOKUP($G371, 'Enter DVID'!$A$1:$C$61, 3, FALSE)), "")</f>
        <v>List</v>
      </c>
      <c r="K371" s="34" t="str">
        <f>IFERROR(IF(VLOOKUP($G371, 'Enter DVID'!$A$1:$D$61, 4, FALSE)="", "", VLOOKUP($G371, 'Enter DVID'!$A$1:$D$61, 4, FALSE)), "")</f>
        <v>CJ_CURRENTPRJOB</v>
      </c>
    </row>
    <row r="372" spans="1:12" x14ac:dyDescent="0.25">
      <c r="G372" s="20" t="s">
        <v>228</v>
      </c>
      <c r="H372" s="34" t="str">
        <f>IFERROR(IF(VLOOKUP($G372, 'Enter DVID'!$A$1:$C$61, 2, FALSE)="", "", VLOOKUP($G372, 'Enter DVID'!$A$1:$C$61, 2, FALSE)), "")</f>
        <v>252</v>
      </c>
      <c r="I372" s="34" t="str">
        <f>IFERROR(IF(VLOOKUP($G372, 'Enter DVID'!$A$1:$C$61, 3, FALSE)="", "", VLOOKUP($G372, 'Enter DVID'!$A$1:$C$61, 3, FALSE)), "")</f>
        <v>List</v>
      </c>
      <c r="K372" s="34" t="str">
        <f>IFERROR(IF(VLOOKUP($G372, 'Enter DVID'!$A$1:$D$61, 4, FALSE)="", "", VLOOKUP($G372, 'Enter DVID'!$A$1:$D$61, 4, FALSE)), "")</f>
        <v>CJ_PRJOBSTATUSLIST</v>
      </c>
    </row>
    <row r="374" spans="1:12" ht="16.5" thickBot="1" x14ac:dyDescent="0.3">
      <c r="A374" s="1" t="s">
        <v>14</v>
      </c>
      <c r="B374" s="1" t="s">
        <v>15</v>
      </c>
      <c r="C374" s="3" t="s">
        <v>16</v>
      </c>
      <c r="D374" s="3" t="s">
        <v>122</v>
      </c>
      <c r="E374" s="3" t="s">
        <v>255</v>
      </c>
      <c r="F374" s="15" t="s">
        <v>126</v>
      </c>
      <c r="G374" s="1" t="s">
        <v>123</v>
      </c>
      <c r="H374" s="35" t="s">
        <v>124</v>
      </c>
      <c r="I374" s="35" t="s">
        <v>125</v>
      </c>
      <c r="J374" s="15" t="s">
        <v>100</v>
      </c>
      <c r="K374" s="43" t="s">
        <v>101</v>
      </c>
      <c r="L374" s="15" t="s">
        <v>102</v>
      </c>
    </row>
    <row r="375" spans="1:12" ht="17.25" thickTop="1" thickBot="1" x14ac:dyDescent="0.3">
      <c r="A375" s="4">
        <v>46</v>
      </c>
      <c r="B375" s="2" t="s">
        <v>34</v>
      </c>
      <c r="C375" s="5" t="s">
        <v>169</v>
      </c>
      <c r="D375" s="2" t="s">
        <v>171</v>
      </c>
      <c r="E375" s="2" t="s">
        <v>46</v>
      </c>
      <c r="F375" s="62" t="s">
        <v>572</v>
      </c>
      <c r="G375" s="61" t="s">
        <v>0</v>
      </c>
      <c r="H375" s="36" t="str">
        <f>IFERROR(IF(VLOOKUP($G375, 'Enter DVID'!$A$1:$C$61, 2, FALSE)="", "", VLOOKUP($G375, 'Enter DVID'!$A$1:$C$61, 2, FALSE)), "")</f>
        <v>241</v>
      </c>
      <c r="I375" s="63" t="str">
        <f>IFERROR(IF(VLOOKUP($G375, 'Enter DVID'!$A$1:$C$61, 3, FALSE)="", "", VLOOKUP($G375, 'Enter DVID'!$A$1:$C$61, 3, FALSE)), "")</f>
        <v>A</v>
      </c>
      <c r="J375" s="62" t="s">
        <v>571</v>
      </c>
      <c r="K375" s="64" t="str">
        <f>IFERROR(IF(VLOOKUP($G375, 'Enter DVID'!$A$1:$D$61, 4, FALSE)="", "", VLOOKUP($G375, 'Enter DVID'!$A$1:$D$61, 4, FALSE)), "")</f>
        <v>CJ_OBJID</v>
      </c>
    </row>
    <row r="376" spans="1:12" ht="16.5" thickTop="1" x14ac:dyDescent="0.25">
      <c r="C376" s="2" t="s">
        <v>170</v>
      </c>
      <c r="G376" s="19" t="s">
        <v>11</v>
      </c>
      <c r="H376" s="36" t="str">
        <f>IFERROR(IF(VLOOKUP($G376, 'Enter DVID'!$A$1:$C$61, 2, FALSE)="", "", VLOOKUP($G376, 'Enter DVID'!$A$1:$C$61, 2, FALSE)), "")</f>
        <v>251</v>
      </c>
      <c r="I376" s="36" t="str">
        <f>IFERROR(IF(VLOOKUP($G376, 'Enter DVID'!$A$1:$C$61, 3, FALSE)="", "", VLOOKUP($G376, 'Enter DVID'!$A$1:$C$61, 3, FALSE)), "")</f>
        <v>U1</v>
      </c>
      <c r="K376" s="36" t="str">
        <f>IFERROR(IF(VLOOKUP($G376, 'Enter DVID'!$A$1:$D$61, 4, FALSE)="", "", VLOOKUP($G376, 'Enter DVID'!$A$1:$D$61, 4, FALSE)), "")</f>
        <v>CJ_STATE</v>
      </c>
    </row>
    <row r="377" spans="1:12" x14ac:dyDescent="0.25">
      <c r="G377" s="20" t="s">
        <v>230</v>
      </c>
      <c r="H377" s="34" t="str">
        <f>IFERROR(IF(VLOOKUP($G377, 'Enter DVID'!$A$1:$C$61, 2, FALSE)="", "", VLOOKUP($G377, 'Enter DVID'!$A$1:$C$61, 2, FALSE)), "")</f>
        <v>4162</v>
      </c>
      <c r="I377" s="34" t="str">
        <f>IFERROR(IF(VLOOKUP($G377, 'Enter DVID'!$A$1:$C$61, 3, FALSE)="", "", VLOOKUP($G377, 'Enter DVID'!$A$1:$C$61, 3, FALSE)), "")</f>
        <v>U1</v>
      </c>
      <c r="K377" s="34" t="str">
        <f>IFERROR(IF(VLOOKUP($G377, 'Enter DVID'!$A$1:$D$61, 4, FALSE)="", "", VLOOKUP($G377, 'Enter DVID'!$A$1:$D$61, 4, FALSE)), "")</f>
        <v>CJPROCESSEDNORMALLY_WAFERCOUNT</v>
      </c>
    </row>
    <row r="378" spans="1:12" x14ac:dyDescent="0.25">
      <c r="G378" s="20" t="s">
        <v>229</v>
      </c>
      <c r="H378" s="34" t="str">
        <f>IFERROR(IF(VLOOKUP($G378, 'Enter DVID'!$A$1:$C$61, 2, FALSE)="", "", VLOOKUP($G378, 'Enter DVID'!$A$1:$C$61, 2, FALSE)), "")</f>
        <v>4163</v>
      </c>
      <c r="I378" s="34" t="str">
        <f>IFERROR(IF(VLOOKUP($G378, 'Enter DVID'!$A$1:$C$61, 3, FALSE)="", "", VLOOKUP($G378, 'Enter DVID'!$A$1:$C$61, 3, FALSE)), "")</f>
        <v>U1</v>
      </c>
      <c r="K378" s="34" t="str">
        <f>IFERROR(IF(VLOOKUP($G378, 'Enter DVID'!$A$1:$D$61, 4, FALSE)="", "", VLOOKUP($G378, 'Enter DVID'!$A$1:$D$61, 4, FALSE)), "")</f>
        <v>CJABORTED_WAFERCCOUNT</v>
      </c>
    </row>
    <row r="379" spans="1:12" x14ac:dyDescent="0.25">
      <c r="G379" s="20" t="s">
        <v>5</v>
      </c>
      <c r="H379" s="34" t="str">
        <f>IFERROR(IF(VLOOKUP($G379, 'Enter DVID'!$A$1:$C$61, 2, FALSE)="", "", VLOOKUP($G379, 'Enter DVID'!$A$1:$C$61, 2, FALSE)), "")</f>
        <v/>
      </c>
      <c r="I379" s="34" t="str">
        <f>IFERROR(IF(VLOOKUP($G379, 'Enter DVID'!$A$1:$C$61, 3, FALSE)="", "", VLOOKUP($G379, 'Enter DVID'!$A$1:$C$61, 3, FALSE)), "")</f>
        <v/>
      </c>
      <c r="K379" s="34" t="str">
        <f>IFERROR(IF(VLOOKUP($G379, 'Enter DVID'!$A$1:$D$61, 4, FALSE)="", "", VLOOKUP($G379, 'Enter DVID'!$A$1:$D$61, 4, FALSE)), "")</f>
        <v/>
      </c>
    </row>
    <row r="380" spans="1:12" x14ac:dyDescent="0.25">
      <c r="G380" s="20" t="s">
        <v>19</v>
      </c>
      <c r="H380" s="34" t="str">
        <f>IFERROR(IF(VLOOKUP($G380, 'Enter DVID'!$A$1:$C$61, 2, FALSE)="", "", VLOOKUP($G380, 'Enter DVID'!$A$1:$C$61, 2, FALSE)), "")</f>
        <v>3</v>
      </c>
      <c r="I380" s="34" t="str">
        <f>IFERROR(IF(VLOOKUP($G380, 'Enter DVID'!$A$1:$C$61, 3, FALSE)="", "", VLOOKUP($G380, 'Enter DVID'!$A$1:$C$61, 3, FALSE)), "")</f>
        <v>A</v>
      </c>
      <c r="K380" s="34" t="str">
        <f>IFERROR(IF(VLOOKUP($G380, 'Enter DVID'!$A$1:$D$61, 4, FALSE)="", "", VLOOKUP($G380, 'Enter DVID'!$A$1:$D$61, 4, FALSE)), "")</f>
        <v>SYS_CLOCK</v>
      </c>
    </row>
    <row r="381" spans="1:12" x14ac:dyDescent="0.25">
      <c r="G381" s="20" t="s">
        <v>263</v>
      </c>
      <c r="H381" s="34" t="str">
        <f>IFERROR(IF(VLOOKUP($G381, 'Enter DVID'!$A$1:$C$61, 2, FALSE)="", "", VLOOKUP($G381, 'Enter DVID'!$A$1:$C$61, 2, FALSE)), "")</f>
        <v>249</v>
      </c>
      <c r="I381" s="34" t="str">
        <f>IFERROR(IF(VLOOKUP($G381, 'Enter DVID'!$A$1:$C$61, 3, FALSE)="", "", VLOOKUP($G381, 'Enter DVID'!$A$1:$C$61, 3, FALSE)), "")</f>
        <v>U1</v>
      </c>
      <c r="K381" s="34" t="str">
        <f>IFERROR(IF(VLOOKUP($G381, 'Enter DVID'!$A$1:$D$61, 4, FALSE)="", "", VLOOKUP($G381, 'Enter DVID'!$A$1:$D$61, 4, FALSE)), "")</f>
        <v>CJ_PROCESSORDERMGMT</v>
      </c>
    </row>
    <row r="382" spans="1:12" x14ac:dyDescent="0.25">
      <c r="G382" s="20" t="s">
        <v>226</v>
      </c>
      <c r="H382" s="34" t="str">
        <f>IFERROR(IF(VLOOKUP($G382, 'Enter DVID'!$A$1:$C$61, 2, FALSE)="", "", VLOOKUP($G382, 'Enter DVID'!$A$1:$C$61, 2, FALSE)), "")</f>
        <v>242</v>
      </c>
      <c r="I382" s="34" t="str">
        <f>IFERROR(IF(VLOOKUP($G382, 'Enter DVID'!$A$1:$C$61, 3, FALSE)="", "", VLOOKUP($G382, 'Enter DVID'!$A$1:$C$61, 3, FALSE)), "")</f>
        <v>List</v>
      </c>
      <c r="K382" s="34" t="str">
        <f>IFERROR(IF(VLOOKUP($G382, 'Enter DVID'!$A$1:$D$61, 4, FALSE)="", "", VLOOKUP($G382, 'Enter DVID'!$A$1:$D$61, 4, FALSE)), "")</f>
        <v>CJ_CARRIERINPUTSPEC</v>
      </c>
    </row>
    <row r="383" spans="1:12" x14ac:dyDescent="0.25">
      <c r="G383" s="20" t="s">
        <v>227</v>
      </c>
      <c r="H383" s="34" t="str">
        <f>IFERROR(IF(VLOOKUP($G383, 'Enter DVID'!$A$1:$C$61, 2, FALSE)="", "", VLOOKUP($G383, 'Enter DVID'!$A$1:$C$61, 2, FALSE)), "")</f>
        <v>243</v>
      </c>
      <c r="I383" s="34" t="str">
        <f>IFERROR(IF(VLOOKUP($G383, 'Enter DVID'!$A$1:$C$61, 3, FALSE)="", "", VLOOKUP($G383, 'Enter DVID'!$A$1:$C$61, 3, FALSE)), "")</f>
        <v>List</v>
      </c>
      <c r="K383" s="34" t="str">
        <f>IFERROR(IF(VLOOKUP($G383, 'Enter DVID'!$A$1:$D$61, 4, FALSE)="", "", VLOOKUP($G383, 'Enter DVID'!$A$1:$D$61, 4, FALSE)), "")</f>
        <v>CJ_CURRENTPRJOB</v>
      </c>
    </row>
    <row r="384" spans="1:12" x14ac:dyDescent="0.25">
      <c r="G384" s="20" t="s">
        <v>228</v>
      </c>
      <c r="H384" s="34" t="str">
        <f>IFERROR(IF(VLOOKUP($G384, 'Enter DVID'!$A$1:$C$61, 2, FALSE)="", "", VLOOKUP($G384, 'Enter DVID'!$A$1:$C$61, 2, FALSE)), "")</f>
        <v>252</v>
      </c>
      <c r="I384" s="34" t="str">
        <f>IFERROR(IF(VLOOKUP($G384, 'Enter DVID'!$A$1:$C$61, 3, FALSE)="", "", VLOOKUP($G384, 'Enter DVID'!$A$1:$C$61, 3, FALSE)), "")</f>
        <v>List</v>
      </c>
      <c r="K384" s="34" t="str">
        <f>IFERROR(IF(VLOOKUP($G384, 'Enter DVID'!$A$1:$D$61, 4, FALSE)="", "", VLOOKUP($G384, 'Enter DVID'!$A$1:$D$61, 4, FALSE)), "")</f>
        <v>CJ_PRJOBSTATUSLIST</v>
      </c>
    </row>
    <row r="386" spans="1:12" ht="16.5" thickBot="1" x14ac:dyDescent="0.3">
      <c r="A386" s="1" t="s">
        <v>14</v>
      </c>
      <c r="B386" s="1" t="s">
        <v>15</v>
      </c>
      <c r="C386" s="3" t="s">
        <v>16</v>
      </c>
      <c r="D386" s="3" t="s">
        <v>122</v>
      </c>
      <c r="E386" s="3" t="s">
        <v>255</v>
      </c>
      <c r="F386" s="15" t="s">
        <v>126</v>
      </c>
      <c r="G386" s="1" t="s">
        <v>123</v>
      </c>
      <c r="H386" s="35" t="s">
        <v>124</v>
      </c>
      <c r="I386" s="35" t="s">
        <v>125</v>
      </c>
      <c r="J386" s="15" t="s">
        <v>100</v>
      </c>
      <c r="K386" s="43" t="s">
        <v>101</v>
      </c>
      <c r="L386" s="15" t="s">
        <v>102</v>
      </c>
    </row>
    <row r="387" spans="1:12" ht="17.25" thickTop="1" thickBot="1" x14ac:dyDescent="0.3">
      <c r="A387" s="4">
        <v>47</v>
      </c>
      <c r="B387" s="2" t="s">
        <v>34</v>
      </c>
      <c r="C387" s="5" t="s">
        <v>172</v>
      </c>
      <c r="D387" s="2" t="s">
        <v>174</v>
      </c>
      <c r="E387" s="2" t="s">
        <v>46</v>
      </c>
      <c r="F387" s="62" t="s">
        <v>573</v>
      </c>
      <c r="G387" s="61" t="s">
        <v>0</v>
      </c>
      <c r="H387" s="36" t="str">
        <f>IFERROR(IF(VLOOKUP($G387, 'Enter DVID'!$A$1:$C$61, 2, FALSE)="", "", VLOOKUP($G387, 'Enter DVID'!$A$1:$C$61, 2, FALSE)), "")</f>
        <v>241</v>
      </c>
      <c r="I387" s="63" t="str">
        <f>IFERROR(IF(VLOOKUP($G387, 'Enter DVID'!$A$1:$C$61, 3, FALSE)="", "", VLOOKUP($G387, 'Enter DVID'!$A$1:$C$61, 3, FALSE)), "")</f>
        <v>A</v>
      </c>
      <c r="J387" s="62" t="s">
        <v>574</v>
      </c>
      <c r="K387" s="64" t="str">
        <f>IFERROR(IF(VLOOKUP($G387, 'Enter DVID'!$A$1:$D$61, 4, FALSE)="", "", VLOOKUP($G387, 'Enter DVID'!$A$1:$D$61, 4, FALSE)), "")</f>
        <v>CJ_OBJID</v>
      </c>
    </row>
    <row r="388" spans="1:12" ht="16.5" thickTop="1" x14ac:dyDescent="0.25">
      <c r="C388" s="2" t="s">
        <v>173</v>
      </c>
      <c r="G388" s="19" t="s">
        <v>11</v>
      </c>
      <c r="H388" s="36" t="str">
        <f>IFERROR(IF(VLOOKUP($G388, 'Enter DVID'!$A$1:$C$61, 2, FALSE)="", "", VLOOKUP($G388, 'Enter DVID'!$A$1:$C$61, 2, FALSE)), "")</f>
        <v>251</v>
      </c>
      <c r="I388" s="36" t="str">
        <f>IFERROR(IF(VLOOKUP($G388, 'Enter DVID'!$A$1:$C$61, 3, FALSE)="", "", VLOOKUP($G388, 'Enter DVID'!$A$1:$C$61, 3, FALSE)), "")</f>
        <v>U1</v>
      </c>
      <c r="K388" s="36" t="str">
        <f>IFERROR(IF(VLOOKUP($G388, 'Enter DVID'!$A$1:$D$61, 4, FALSE)="", "", VLOOKUP($G388, 'Enter DVID'!$A$1:$D$61, 4, FALSE)), "")</f>
        <v>CJ_STATE</v>
      </c>
    </row>
    <row r="389" spans="1:12" x14ac:dyDescent="0.25">
      <c r="G389" s="20" t="s">
        <v>230</v>
      </c>
      <c r="H389" s="34" t="str">
        <f>IFERROR(IF(VLOOKUP($G389, 'Enter DVID'!$A$1:$C$61, 2, FALSE)="", "", VLOOKUP($G389, 'Enter DVID'!$A$1:$C$61, 2, FALSE)), "")</f>
        <v>4162</v>
      </c>
      <c r="I389" s="34" t="str">
        <f>IFERROR(IF(VLOOKUP($G389, 'Enter DVID'!$A$1:$C$61, 3, FALSE)="", "", VLOOKUP($G389, 'Enter DVID'!$A$1:$C$61, 3, FALSE)), "")</f>
        <v>U1</v>
      </c>
      <c r="K389" s="34" t="str">
        <f>IFERROR(IF(VLOOKUP($G389, 'Enter DVID'!$A$1:$D$61, 4, FALSE)="", "", VLOOKUP($G389, 'Enter DVID'!$A$1:$D$61, 4, FALSE)), "")</f>
        <v>CJPROCESSEDNORMALLY_WAFERCOUNT</v>
      </c>
    </row>
    <row r="390" spans="1:12" x14ac:dyDescent="0.25">
      <c r="G390" s="20" t="s">
        <v>229</v>
      </c>
      <c r="H390" s="34" t="str">
        <f>IFERROR(IF(VLOOKUP($G390, 'Enter DVID'!$A$1:$C$61, 2, FALSE)="", "", VLOOKUP($G390, 'Enter DVID'!$A$1:$C$61, 2, FALSE)), "")</f>
        <v>4163</v>
      </c>
      <c r="I390" s="34" t="str">
        <f>IFERROR(IF(VLOOKUP($G390, 'Enter DVID'!$A$1:$C$61, 3, FALSE)="", "", VLOOKUP($G390, 'Enter DVID'!$A$1:$C$61, 3, FALSE)), "")</f>
        <v>U1</v>
      </c>
      <c r="K390" s="34" t="str">
        <f>IFERROR(IF(VLOOKUP($G390, 'Enter DVID'!$A$1:$D$61, 4, FALSE)="", "", VLOOKUP($G390, 'Enter DVID'!$A$1:$D$61, 4, FALSE)), "")</f>
        <v>CJABORTED_WAFERCCOUNT</v>
      </c>
    </row>
    <row r="391" spans="1:12" x14ac:dyDescent="0.25">
      <c r="G391" s="20" t="s">
        <v>5</v>
      </c>
      <c r="H391" s="34" t="str">
        <f>IFERROR(IF(VLOOKUP($G391, 'Enter DVID'!$A$1:$C$61, 2, FALSE)="", "", VLOOKUP($G391, 'Enter DVID'!$A$1:$C$61, 2, FALSE)), "")</f>
        <v/>
      </c>
      <c r="I391" s="34" t="str">
        <f>IFERROR(IF(VLOOKUP($G391, 'Enter DVID'!$A$1:$C$61, 3, FALSE)="", "", VLOOKUP($G391, 'Enter DVID'!$A$1:$C$61, 3, FALSE)), "")</f>
        <v/>
      </c>
      <c r="K391" s="34" t="str">
        <f>IFERROR(IF(VLOOKUP($G391, 'Enter DVID'!$A$1:$D$61, 4, FALSE)="", "", VLOOKUP($G391, 'Enter DVID'!$A$1:$D$61, 4, FALSE)), "")</f>
        <v/>
      </c>
    </row>
    <row r="392" spans="1:12" x14ac:dyDescent="0.25">
      <c r="G392" s="20" t="s">
        <v>19</v>
      </c>
      <c r="H392" s="34" t="str">
        <f>IFERROR(IF(VLOOKUP($G392, 'Enter DVID'!$A$1:$C$61, 2, FALSE)="", "", VLOOKUP($G392, 'Enter DVID'!$A$1:$C$61, 2, FALSE)), "")</f>
        <v>3</v>
      </c>
      <c r="I392" s="34" t="str">
        <f>IFERROR(IF(VLOOKUP($G392, 'Enter DVID'!$A$1:$C$61, 3, FALSE)="", "", VLOOKUP($G392, 'Enter DVID'!$A$1:$C$61, 3, FALSE)), "")</f>
        <v>A</v>
      </c>
      <c r="K392" s="34" t="str">
        <f>IFERROR(IF(VLOOKUP($G392, 'Enter DVID'!$A$1:$D$61, 4, FALSE)="", "", VLOOKUP($G392, 'Enter DVID'!$A$1:$D$61, 4, FALSE)), "")</f>
        <v>SYS_CLOCK</v>
      </c>
    </row>
    <row r="393" spans="1:12" x14ac:dyDescent="0.25">
      <c r="G393" s="20" t="s">
        <v>263</v>
      </c>
      <c r="H393" s="34" t="str">
        <f>IFERROR(IF(VLOOKUP($G393, 'Enter DVID'!$A$1:$C$61, 2, FALSE)="", "", VLOOKUP($G393, 'Enter DVID'!$A$1:$C$61, 2, FALSE)), "")</f>
        <v>249</v>
      </c>
      <c r="I393" s="34" t="str">
        <f>IFERROR(IF(VLOOKUP($G393, 'Enter DVID'!$A$1:$C$61, 3, FALSE)="", "", VLOOKUP($G393, 'Enter DVID'!$A$1:$C$61, 3, FALSE)), "")</f>
        <v>U1</v>
      </c>
      <c r="K393" s="34" t="str">
        <f>IFERROR(IF(VLOOKUP($G393, 'Enter DVID'!$A$1:$D$61, 4, FALSE)="", "", VLOOKUP($G393, 'Enter DVID'!$A$1:$D$61, 4, FALSE)), "")</f>
        <v>CJ_PROCESSORDERMGMT</v>
      </c>
    </row>
    <row r="394" spans="1:12" x14ac:dyDescent="0.25">
      <c r="G394" s="20" t="s">
        <v>226</v>
      </c>
      <c r="H394" s="34" t="str">
        <f>IFERROR(IF(VLOOKUP($G394, 'Enter DVID'!$A$1:$C$61, 2, FALSE)="", "", VLOOKUP($G394, 'Enter DVID'!$A$1:$C$61, 2, FALSE)), "")</f>
        <v>242</v>
      </c>
      <c r="I394" s="34" t="str">
        <f>IFERROR(IF(VLOOKUP($G394, 'Enter DVID'!$A$1:$C$61, 3, FALSE)="", "", VLOOKUP($G394, 'Enter DVID'!$A$1:$C$61, 3, FALSE)), "")</f>
        <v>List</v>
      </c>
      <c r="K394" s="34" t="str">
        <f>IFERROR(IF(VLOOKUP($G394, 'Enter DVID'!$A$1:$D$61, 4, FALSE)="", "", VLOOKUP($G394, 'Enter DVID'!$A$1:$D$61, 4, FALSE)), "")</f>
        <v>CJ_CARRIERINPUTSPEC</v>
      </c>
    </row>
    <row r="395" spans="1:12" x14ac:dyDescent="0.25">
      <c r="G395" s="20" t="s">
        <v>227</v>
      </c>
      <c r="H395" s="34" t="str">
        <f>IFERROR(IF(VLOOKUP($G395, 'Enter DVID'!$A$1:$C$61, 2, FALSE)="", "", VLOOKUP($G395, 'Enter DVID'!$A$1:$C$61, 2, FALSE)), "")</f>
        <v>243</v>
      </c>
      <c r="I395" s="34" t="str">
        <f>IFERROR(IF(VLOOKUP($G395, 'Enter DVID'!$A$1:$C$61, 3, FALSE)="", "", VLOOKUP($G395, 'Enter DVID'!$A$1:$C$61, 3, FALSE)), "")</f>
        <v>List</v>
      </c>
      <c r="K395" s="34" t="str">
        <f>IFERROR(IF(VLOOKUP($G395, 'Enter DVID'!$A$1:$D$61, 4, FALSE)="", "", VLOOKUP($G395, 'Enter DVID'!$A$1:$D$61, 4, FALSE)), "")</f>
        <v>CJ_CURRENTPRJOB</v>
      </c>
    </row>
    <row r="396" spans="1:12" x14ac:dyDescent="0.25">
      <c r="G396" s="20" t="s">
        <v>228</v>
      </c>
      <c r="H396" s="34" t="str">
        <f>IFERROR(IF(VLOOKUP($G396, 'Enter DVID'!$A$1:$C$61, 2, FALSE)="", "", VLOOKUP($G396, 'Enter DVID'!$A$1:$C$61, 2, FALSE)), "")</f>
        <v>252</v>
      </c>
      <c r="I396" s="34" t="str">
        <f>IFERROR(IF(VLOOKUP($G396, 'Enter DVID'!$A$1:$C$61, 3, FALSE)="", "", VLOOKUP($G396, 'Enter DVID'!$A$1:$C$61, 3, FALSE)), "")</f>
        <v>List</v>
      </c>
      <c r="K396" s="34" t="str">
        <f>IFERROR(IF(VLOOKUP($G396, 'Enter DVID'!$A$1:$D$61, 4, FALSE)="", "", VLOOKUP($G396, 'Enter DVID'!$A$1:$D$61, 4, FALSE)), "")</f>
        <v>CJ_PRJOBSTATUSLIST</v>
      </c>
    </row>
    <row r="398" spans="1:12" ht="16.5" thickBot="1" x14ac:dyDescent="0.3">
      <c r="A398" s="1" t="s">
        <v>14</v>
      </c>
      <c r="B398" s="1" t="s">
        <v>15</v>
      </c>
      <c r="C398" s="3" t="s">
        <v>16</v>
      </c>
      <c r="D398" s="3" t="s">
        <v>122</v>
      </c>
      <c r="E398" s="3" t="s">
        <v>255</v>
      </c>
      <c r="F398" s="15" t="s">
        <v>126</v>
      </c>
      <c r="G398" s="1" t="s">
        <v>123</v>
      </c>
      <c r="H398" s="35" t="s">
        <v>124</v>
      </c>
      <c r="I398" s="35" t="s">
        <v>125</v>
      </c>
      <c r="J398" s="15" t="s">
        <v>100</v>
      </c>
      <c r="K398" s="43" t="s">
        <v>101</v>
      </c>
      <c r="L398" s="15" t="s">
        <v>102</v>
      </c>
    </row>
    <row r="399" spans="1:12" ht="17.25" thickTop="1" thickBot="1" x14ac:dyDescent="0.3">
      <c r="A399" s="4">
        <v>48</v>
      </c>
      <c r="B399" s="2" t="s">
        <v>34</v>
      </c>
      <c r="C399" s="5" t="s">
        <v>233</v>
      </c>
      <c r="D399" s="2" t="s">
        <v>232</v>
      </c>
      <c r="E399" s="2" t="s">
        <v>46</v>
      </c>
      <c r="F399" s="62" t="s">
        <v>575</v>
      </c>
      <c r="G399" s="61" t="s">
        <v>0</v>
      </c>
      <c r="H399" s="36" t="str">
        <f>IFERROR(IF(VLOOKUP($G399, 'Enter DVID'!$A$1:$C$61, 2, FALSE)="", "", VLOOKUP($G399, 'Enter DVID'!$A$1:$C$61, 2, FALSE)), "")</f>
        <v>241</v>
      </c>
      <c r="I399" s="63" t="str">
        <f>IFERROR(IF(VLOOKUP($G399, 'Enter DVID'!$A$1:$C$61, 3, FALSE)="", "", VLOOKUP($G399, 'Enter DVID'!$A$1:$C$61, 3, FALSE)), "")</f>
        <v>A</v>
      </c>
      <c r="J399" s="62" t="s">
        <v>576</v>
      </c>
      <c r="K399" s="64" t="str">
        <f>IFERROR(IF(VLOOKUP($G399, 'Enter DVID'!$A$1:$D$61, 4, FALSE)="", "", VLOOKUP($G399, 'Enter DVID'!$A$1:$D$61, 4, FALSE)), "")</f>
        <v>CJ_OBJID</v>
      </c>
    </row>
    <row r="400" spans="1:12" ht="16.5" thickTop="1" x14ac:dyDescent="0.25">
      <c r="G400" s="19" t="s">
        <v>11</v>
      </c>
      <c r="H400" s="36" t="str">
        <f>IFERROR(IF(VLOOKUP($G400, 'Enter DVID'!$A$1:$C$61, 2, FALSE)="", "", VLOOKUP($G400, 'Enter DVID'!$A$1:$C$61, 2, FALSE)), "")</f>
        <v>251</v>
      </c>
      <c r="I400" s="36" t="str">
        <f>IFERROR(IF(VLOOKUP($G400, 'Enter DVID'!$A$1:$C$61, 3, FALSE)="", "", VLOOKUP($G400, 'Enter DVID'!$A$1:$C$61, 3, FALSE)), "")</f>
        <v>U1</v>
      </c>
      <c r="K400" s="36" t="str">
        <f>IFERROR(IF(VLOOKUP($G400, 'Enter DVID'!$A$1:$D$61, 4, FALSE)="", "", VLOOKUP($G400, 'Enter DVID'!$A$1:$D$61, 4, FALSE)), "")</f>
        <v>CJ_STATE</v>
      </c>
    </row>
    <row r="401" spans="1:12" x14ac:dyDescent="0.25">
      <c r="G401" s="20" t="s">
        <v>18</v>
      </c>
      <c r="H401" s="34" t="str">
        <f>IFERROR(IF(VLOOKUP($G401, 'Enter DVID'!$A$1:$C$61, 2, FALSE)="", "", VLOOKUP($G401, 'Enter DVID'!$A$1:$C$61, 2, FALSE)), "")</f>
        <v/>
      </c>
      <c r="I401" s="34" t="str">
        <f>IFERROR(IF(VLOOKUP($G401, 'Enter DVID'!$A$1:$C$61, 3, FALSE)="", "", VLOOKUP($G401, 'Enter DVID'!$A$1:$C$61, 3, FALSE)), "")</f>
        <v/>
      </c>
      <c r="K401" s="34" t="str">
        <f>IFERROR(IF(VLOOKUP($G401, 'Enter DVID'!$A$1:$D$61, 4, FALSE)="", "", VLOOKUP($G401, 'Enter DVID'!$A$1:$D$61, 4, FALSE)), "")</f>
        <v/>
      </c>
    </row>
    <row r="402" spans="1:12" x14ac:dyDescent="0.25">
      <c r="G402" s="20" t="s">
        <v>19</v>
      </c>
      <c r="H402" s="34" t="str">
        <f>IFERROR(IF(VLOOKUP($G402, 'Enter DVID'!$A$1:$C$61, 2, FALSE)="", "", VLOOKUP($G402, 'Enter DVID'!$A$1:$C$61, 2, FALSE)), "")</f>
        <v>3</v>
      </c>
      <c r="I402" s="34" t="str">
        <f>IFERROR(IF(VLOOKUP($G402, 'Enter DVID'!$A$1:$C$61, 3, FALSE)="", "", VLOOKUP($G402, 'Enter DVID'!$A$1:$C$61, 3, FALSE)), "")</f>
        <v>A</v>
      </c>
      <c r="K402" s="34" t="str">
        <f>IFERROR(IF(VLOOKUP($G402, 'Enter DVID'!$A$1:$D$61, 4, FALSE)="", "", VLOOKUP($G402, 'Enter DVID'!$A$1:$D$61, 4, FALSE)), "")</f>
        <v>SYS_CLOCK</v>
      </c>
    </row>
    <row r="403" spans="1:12" x14ac:dyDescent="0.25">
      <c r="G403" s="20" t="s">
        <v>263</v>
      </c>
      <c r="H403" s="34" t="str">
        <f>IFERROR(IF(VLOOKUP($G403, 'Enter DVID'!$A$1:$C$61, 2, FALSE)="", "", VLOOKUP($G403, 'Enter DVID'!$A$1:$C$61, 2, FALSE)), "")</f>
        <v>249</v>
      </c>
      <c r="I403" s="34" t="str">
        <f>IFERROR(IF(VLOOKUP($G403, 'Enter DVID'!$A$1:$C$61, 3, FALSE)="", "", VLOOKUP($G403, 'Enter DVID'!$A$1:$C$61, 3, FALSE)), "")</f>
        <v>U1</v>
      </c>
      <c r="K403" s="34" t="str">
        <f>IFERROR(IF(VLOOKUP($G403, 'Enter DVID'!$A$1:$D$61, 4, FALSE)="", "", VLOOKUP($G403, 'Enter DVID'!$A$1:$D$61, 4, FALSE)), "")</f>
        <v>CJ_PROCESSORDERMGMT</v>
      </c>
    </row>
    <row r="404" spans="1:12" x14ac:dyDescent="0.25">
      <c r="G404" s="20" t="s">
        <v>226</v>
      </c>
      <c r="H404" s="34" t="str">
        <f>IFERROR(IF(VLOOKUP($G404, 'Enter DVID'!$A$1:$C$61, 2, FALSE)="", "", VLOOKUP($G404, 'Enter DVID'!$A$1:$C$61, 2, FALSE)), "")</f>
        <v>242</v>
      </c>
      <c r="I404" s="34" t="str">
        <f>IFERROR(IF(VLOOKUP($G404, 'Enter DVID'!$A$1:$C$61, 3, FALSE)="", "", VLOOKUP($G404, 'Enter DVID'!$A$1:$C$61, 3, FALSE)), "")</f>
        <v>List</v>
      </c>
      <c r="K404" s="34" t="str">
        <f>IFERROR(IF(VLOOKUP($G404, 'Enter DVID'!$A$1:$D$61, 4, FALSE)="", "", VLOOKUP($G404, 'Enter DVID'!$A$1:$D$61, 4, FALSE)), "")</f>
        <v>CJ_CARRIERINPUTSPEC</v>
      </c>
    </row>
    <row r="405" spans="1:12" x14ac:dyDescent="0.25">
      <c r="G405" s="20" t="s">
        <v>227</v>
      </c>
      <c r="H405" s="34" t="str">
        <f>IFERROR(IF(VLOOKUP($G405, 'Enter DVID'!$A$1:$C$61, 2, FALSE)="", "", VLOOKUP($G405, 'Enter DVID'!$A$1:$C$61, 2, FALSE)), "")</f>
        <v>243</v>
      </c>
      <c r="I405" s="34" t="str">
        <f>IFERROR(IF(VLOOKUP($G405, 'Enter DVID'!$A$1:$C$61, 3, FALSE)="", "", VLOOKUP($G405, 'Enter DVID'!$A$1:$C$61, 3, FALSE)), "")</f>
        <v>List</v>
      </c>
      <c r="K405" s="34" t="str">
        <f>IFERROR(IF(VLOOKUP($G405, 'Enter DVID'!$A$1:$D$61, 4, FALSE)="", "", VLOOKUP($G405, 'Enter DVID'!$A$1:$D$61, 4, FALSE)), "")</f>
        <v>CJ_CURRENTPRJOB</v>
      </c>
    </row>
    <row r="406" spans="1:12" x14ac:dyDescent="0.25">
      <c r="G406" s="20" t="s">
        <v>228</v>
      </c>
      <c r="H406" s="34" t="str">
        <f>IFERROR(IF(VLOOKUP($G406, 'Enter DVID'!$A$1:$C$61, 2, FALSE)="", "", VLOOKUP($G406, 'Enter DVID'!$A$1:$C$61, 2, FALSE)), "")</f>
        <v>252</v>
      </c>
      <c r="I406" s="34" t="str">
        <f>IFERROR(IF(VLOOKUP($G406, 'Enter DVID'!$A$1:$C$61, 3, FALSE)="", "", VLOOKUP($G406, 'Enter DVID'!$A$1:$C$61, 3, FALSE)), "")</f>
        <v>List</v>
      </c>
      <c r="K406" s="34" t="str">
        <f>IFERROR(IF(VLOOKUP($G406, 'Enter DVID'!$A$1:$D$61, 4, FALSE)="", "", VLOOKUP($G406, 'Enter DVID'!$A$1:$D$61, 4, FALSE)), "")</f>
        <v>CJ_PRJOBSTATUSLIST</v>
      </c>
    </row>
    <row r="408" spans="1:12" ht="16.5" thickBot="1" x14ac:dyDescent="0.3">
      <c r="A408" s="1" t="s">
        <v>14</v>
      </c>
      <c r="B408" s="1" t="s">
        <v>15</v>
      </c>
      <c r="C408" s="3" t="s">
        <v>16</v>
      </c>
      <c r="D408" s="3" t="s">
        <v>122</v>
      </c>
      <c r="E408" s="3" t="s">
        <v>255</v>
      </c>
      <c r="F408" s="15" t="s">
        <v>126</v>
      </c>
      <c r="G408" s="1" t="s">
        <v>123</v>
      </c>
      <c r="H408" s="35" t="s">
        <v>124</v>
      </c>
      <c r="I408" s="35" t="s">
        <v>125</v>
      </c>
      <c r="J408" s="15" t="s">
        <v>100</v>
      </c>
      <c r="K408" s="43" t="s">
        <v>101</v>
      </c>
      <c r="L408" s="15" t="s">
        <v>102</v>
      </c>
    </row>
    <row r="409" spans="1:12" ht="17.25" thickTop="1" thickBot="1" x14ac:dyDescent="0.3">
      <c r="A409" s="4">
        <v>49</v>
      </c>
      <c r="B409" s="2" t="s">
        <v>43</v>
      </c>
      <c r="C409" s="2" t="s">
        <v>176</v>
      </c>
      <c r="D409" s="2" t="s">
        <v>207</v>
      </c>
      <c r="F409" s="62" t="s">
        <v>578</v>
      </c>
      <c r="G409" s="61" t="s">
        <v>234</v>
      </c>
      <c r="H409" s="36" t="str">
        <f>IFERROR(IF(VLOOKUP($G409, 'Enter DVID'!$A$1:$C$61, 2, FALSE)="", "", VLOOKUP($G409, 'Enter DVID'!$A$1:$C$61, 2, FALSE)), "")</f>
        <v>341</v>
      </c>
      <c r="I409" s="63" t="str">
        <f>IFERROR(IF(VLOOKUP($G409, 'Enter DVID'!$A$1:$C$61, 3, FALSE)="", "", VLOOKUP($G409, 'Enter DVID'!$A$1:$C$61, 3, FALSE)), "")</f>
        <v>A</v>
      </c>
      <c r="J409" s="62" t="s">
        <v>577</v>
      </c>
      <c r="K409" s="64" t="str">
        <f>IFERROR(IF(VLOOKUP($G409, 'Enter DVID'!$A$1:$D$61, 4, FALSE)="", "", VLOOKUP($G409, 'Enter DVID'!$A$1:$D$61, 4, FALSE)), "")</f>
        <v>STS_OBJID</v>
      </c>
    </row>
    <row r="410" spans="1:12" ht="16.5" thickTop="1" x14ac:dyDescent="0.25">
      <c r="G410" s="19" t="s">
        <v>2</v>
      </c>
      <c r="H410" s="36" t="str">
        <f>IFERROR(IF(VLOOKUP($G410, 'Enter DVID'!$A$1:$C$61, 2, FALSE)="", "", VLOOKUP($G410, 'Enter DVID'!$A$1:$C$61, 2, FALSE)), "")</f>
        <v>342</v>
      </c>
      <c r="I410" s="36" t="str">
        <f>IFERROR(IF(VLOOKUP($G410, 'Enter DVID'!$A$1:$C$61, 3, FALSE)="", "", VLOOKUP($G410, 'Enter DVID'!$A$1:$C$61, 3, FALSE)), "")</f>
        <v>A</v>
      </c>
      <c r="K410" s="36" t="str">
        <f>IFERROR(IF(VLOOKUP($G410, 'Enter DVID'!$A$1:$D$61, 4, FALSE)="", "", VLOOKUP($G410, 'Enter DVID'!$A$1:$D$61, 4, FALSE)), "")</f>
        <v>STS_LOTID</v>
      </c>
    </row>
    <row r="411" spans="1:12" x14ac:dyDescent="0.25">
      <c r="G411" s="19" t="s">
        <v>235</v>
      </c>
      <c r="H411" s="36" t="str">
        <f>IFERROR(IF(VLOOKUP($G411, 'Enter DVID'!$A$1:$C$61, 2, FALSE)="", "", VLOOKUP($G411, 'Enter DVID'!$A$1:$C$61, 2, FALSE)), "")</f>
        <v>4170</v>
      </c>
      <c r="I411" s="36" t="str">
        <f>IFERROR(IF(VLOOKUP($G411, 'Enter DVID'!$A$1:$C$61, 3, FALSE)="", "", VLOOKUP($G411, 'Enter DVID'!$A$1:$C$61, 3, FALSE)), "")</f>
        <v>A</v>
      </c>
      <c r="K411" s="36" t="str">
        <f>IFERROR(IF(VLOOKUP($G411, 'Enter DVID'!$A$1:$D$61, 4, FALSE)="", "", VLOOKUP($G411, 'Enter DVID'!$A$1:$D$61, 4, FALSE)), "")</f>
        <v>STS_SLOTID</v>
      </c>
    </row>
    <row r="412" spans="1:12" x14ac:dyDescent="0.25">
      <c r="G412" s="19" t="s">
        <v>236</v>
      </c>
      <c r="H412" s="36" t="str">
        <f>IFERROR(IF(VLOOKUP($G412, 'Enter DVID'!$A$1:$C$61, 2, FALSE)="", "", VLOOKUP($G412, 'Enter DVID'!$A$1:$C$61, 2, FALSE)), "")</f>
        <v>346</v>
      </c>
      <c r="I412" s="36" t="str">
        <f>IFERROR(IF(VLOOKUP($G412, 'Enter DVID'!$A$1:$C$61, 3, FALSE)="", "", VLOOKUP($G412, 'Enter DVID'!$A$1:$C$61, 3, FALSE)), "")</f>
        <v>A</v>
      </c>
      <c r="K412" s="36" t="str">
        <f>IFERROR(IF(VLOOKUP($G412, 'Enter DVID'!$A$1:$D$61, 4, FALSE)="", "", VLOOKUP($G412, 'Enter DVID'!$A$1:$D$61, 4, FALSE)), "")</f>
        <v>STS_SUBSTLOCID</v>
      </c>
    </row>
    <row r="413" spans="1:12" x14ac:dyDescent="0.25">
      <c r="G413" s="19" t="s">
        <v>117</v>
      </c>
      <c r="H413" s="36" t="str">
        <f>IFERROR(IF(VLOOKUP($G413, 'Enter DVID'!$A$1:$C$61, 2, FALSE)="", "", VLOOKUP($G413, 'Enter DVID'!$A$1:$C$61, 2, FALSE)), "")</f>
        <v>347</v>
      </c>
      <c r="I413" s="36" t="str">
        <f>IFERROR(IF(VLOOKUP($G413, 'Enter DVID'!$A$1:$C$61, 3, FALSE)="", "", VLOOKUP($G413, 'Enter DVID'!$A$1:$C$61, 3, FALSE)), "")</f>
        <v>U1</v>
      </c>
      <c r="K413" s="36" t="str">
        <f>IFERROR(IF(VLOOKUP($G413, 'Enter DVID'!$A$1:$D$61, 4, FALSE)="", "", VLOOKUP($G413, 'Enter DVID'!$A$1:$D$61, 4, FALSE)), "")</f>
        <v>STS_SUBSTPROCSTATE</v>
      </c>
    </row>
    <row r="414" spans="1:12" x14ac:dyDescent="0.25">
      <c r="G414" s="19" t="s">
        <v>278</v>
      </c>
      <c r="H414" s="36" t="str">
        <f>IFERROR(IF(VLOOKUP($G414, 'Enter DVID'!$A$1:$C$61, 2, FALSE)="", "", VLOOKUP($G414, 'Enter DVID'!$A$1:$C$61, 2, FALSE)), "")</f>
        <v>4180</v>
      </c>
      <c r="I414" s="36" t="str">
        <f>IFERROR(IF(VLOOKUP($G414, 'Enter DVID'!$A$1:$C$61, 3, FALSE)="", "", VLOOKUP($G414, 'Enter DVID'!$A$1:$C$61, 3, FALSE)), "")</f>
        <v>A</v>
      </c>
      <c r="K414" s="36" t="str">
        <f>IFERROR(IF(VLOOKUP($G414, 'Enter DVID'!$A$1:$D$61, 4, FALSE)="", "", VLOOKUP($G414, 'Enter DVID'!$A$1:$D$61, 4, FALSE)), "")</f>
        <v>ACTIVE_PRJOBID</v>
      </c>
    </row>
    <row r="415" spans="1:12" x14ac:dyDescent="0.25">
      <c r="G415" s="19" t="s">
        <v>272</v>
      </c>
      <c r="H415" s="36" t="str">
        <f>IFERROR(IF(VLOOKUP($G415, 'Enter DVID'!$A$1:$C$61, 2, FALSE)="", "", VLOOKUP($G415, 'Enter DVID'!$A$1:$C$61, 2, FALSE)), "")</f>
        <v>4183</v>
      </c>
      <c r="I415" s="36" t="str">
        <f>IFERROR(IF(VLOOKUP($G415, 'Enter DVID'!$A$1:$C$61, 3, FALSE)="", "", VLOOKUP($G415, 'Enter DVID'!$A$1:$C$61, 3, FALSE)), "")</f>
        <v>A</v>
      </c>
      <c r="K415" s="36" t="str">
        <f>IFERROR(IF(VLOOKUP($G415, 'Enter DVID'!$A$1:$D$61, 4, FALSE)="", "", VLOOKUP($G415, 'Enter DVID'!$A$1:$D$61, 4, FALSE)), "")</f>
        <v>ACTIVE_RECIPEID</v>
      </c>
    </row>
    <row r="416" spans="1:12" x14ac:dyDescent="0.25">
      <c r="G416" s="20" t="s">
        <v>282</v>
      </c>
      <c r="H416" s="34" t="str">
        <f>IFERROR(IF(VLOOKUP($G416, 'Enter DVID'!$A$1:$C$61, 2, FALSE)="", "", VLOOKUP($G416, 'Enter DVID'!$A$1:$C$61, 2, FALSE)), "")</f>
        <v>4181</v>
      </c>
      <c r="I416" s="34" t="str">
        <f>IFERROR(IF(VLOOKUP($G416, 'Enter DVID'!$A$1:$C$61, 3, FALSE)="", "", VLOOKUP($G416, 'Enter DVID'!$A$1:$C$61, 3, FALSE)), "")</f>
        <v>U1</v>
      </c>
      <c r="K416" s="34" t="str">
        <f>IFERROR(IF(VLOOKUP($G416, 'Enter DVID'!$A$1:$D$61, 4, FALSE)="", "", VLOOKUP($G416, 'Enter DVID'!$A$1:$D$61, 4, FALSE)), "")</f>
        <v>ACTIVE_PRJOB_PORTID</v>
      </c>
    </row>
    <row r="417" spans="1:12" x14ac:dyDescent="0.25">
      <c r="G417" s="20" t="s">
        <v>275</v>
      </c>
      <c r="H417" s="34" t="str">
        <f>IFERROR(IF(VLOOKUP($G417, 'Enter DVID'!$A$1:$C$61, 2, FALSE)="", "", VLOOKUP($G417, 'Enter DVID'!$A$1:$C$61, 2, FALSE)), "")</f>
        <v>4182</v>
      </c>
      <c r="I417" s="34" t="str">
        <f>IFERROR(IF(VLOOKUP($G417, 'Enter DVID'!$A$1:$C$61, 3, FALSE)="", "", VLOOKUP($G417, 'Enter DVID'!$A$1:$C$61, 3, FALSE)), "")</f>
        <v>A</v>
      </c>
      <c r="K417" s="34" t="str">
        <f>IFERROR(IF(VLOOKUP($G417, 'Enter DVID'!$A$1:$D$61, 4, FALSE)="", "", VLOOKUP($G417, 'Enter DVID'!$A$1:$D$61, 4, FALSE)), "")</f>
        <v>ACTIVE_PRJOB_CARRIERID</v>
      </c>
    </row>
    <row r="418" spans="1:12" x14ac:dyDescent="0.25">
      <c r="G418" s="20" t="s">
        <v>5</v>
      </c>
      <c r="H418" s="34" t="str">
        <f>IFERROR(IF(VLOOKUP($G418, 'Enter DVID'!$A$1:$C$61, 2, FALSE)="", "", VLOOKUP($G418, 'Enter DVID'!$A$1:$C$61, 2, FALSE)), "")</f>
        <v/>
      </c>
      <c r="I418" s="34" t="str">
        <f>IFERROR(IF(VLOOKUP($G418, 'Enter DVID'!$A$1:$C$61, 3, FALSE)="", "", VLOOKUP($G418, 'Enter DVID'!$A$1:$C$61, 3, FALSE)), "")</f>
        <v/>
      </c>
      <c r="K418" s="34" t="str">
        <f>IFERROR(IF(VLOOKUP($G418, 'Enter DVID'!$A$1:$D$61, 4, FALSE)="", "", VLOOKUP($G418, 'Enter DVID'!$A$1:$D$61, 4, FALSE)), "")</f>
        <v/>
      </c>
    </row>
    <row r="419" spans="1:12" x14ac:dyDescent="0.25">
      <c r="G419" s="20" t="s">
        <v>19</v>
      </c>
      <c r="H419" s="34" t="str">
        <f>IFERROR(IF(VLOOKUP($G419, 'Enter DVID'!$A$1:$C$61, 2, FALSE)="", "", VLOOKUP($G419, 'Enter DVID'!$A$1:$C$61, 2, FALSE)), "")</f>
        <v>3</v>
      </c>
      <c r="I419" s="34" t="str">
        <f>IFERROR(IF(VLOOKUP($G419, 'Enter DVID'!$A$1:$C$61, 3, FALSE)="", "", VLOOKUP($G419, 'Enter DVID'!$A$1:$C$61, 3, FALSE)), "")</f>
        <v>A</v>
      </c>
      <c r="K419" s="34" t="str">
        <f>IFERROR(IF(VLOOKUP($G419, 'Enter DVID'!$A$1:$D$61, 4, FALSE)="", "", VLOOKUP($G419, 'Enter DVID'!$A$1:$D$61, 4, FALSE)), "")</f>
        <v>SYS_CLOCK</v>
      </c>
    </row>
    <row r="420" spans="1:12" x14ac:dyDescent="0.25">
      <c r="G420" s="20" t="s">
        <v>130</v>
      </c>
      <c r="H420" s="34" t="str">
        <f>IFERROR(IF(VLOOKUP($G420, 'Enter DVID'!$A$1:$C$61, 2, FALSE)="", "", VLOOKUP($G420, 'Enter DVID'!$A$1:$C$61, 2, FALSE)), "")</f>
        <v>343</v>
      </c>
      <c r="I420" s="34" t="str">
        <f>IFERROR(IF(VLOOKUP($G420, 'Enter DVID'!$A$1:$C$61, 3, FALSE)="", "", VLOOKUP($G420, 'Enter DVID'!$A$1:$C$61, 3, FALSE)), "")</f>
        <v>U1</v>
      </c>
      <c r="K420" s="34" t="str">
        <f>IFERROR(IF(VLOOKUP($G420, 'Enter DVID'!$A$1:$D$61, 4, FALSE)="", "", VLOOKUP($G420, 'Enter DVID'!$A$1:$D$61, 4, FALSE)), "")</f>
        <v>STS_MATERIALSTATUS</v>
      </c>
    </row>
    <row r="421" spans="1:12" x14ac:dyDescent="0.25">
      <c r="G421" s="20" t="s">
        <v>118</v>
      </c>
      <c r="H421" s="34" t="str">
        <f>IFERROR(IF(VLOOKUP($G421, 'Enter DVID'!$A$1:$C$61, 2, FALSE)="", "", VLOOKUP($G421, 'Enter DVID'!$A$1:$C$61, 2, FALSE)), "")</f>
        <v>348</v>
      </c>
      <c r="I421" s="34" t="str">
        <f>IFERROR(IF(VLOOKUP($G421, 'Enter DVID'!$A$1:$C$61, 3, FALSE)="", "", VLOOKUP($G421, 'Enter DVID'!$A$1:$C$61, 3, FALSE)), "")</f>
        <v>A</v>
      </c>
      <c r="K421" s="34" t="str">
        <f>IFERROR(IF(VLOOKUP($G421, 'Enter DVID'!$A$1:$D$61, 4, FALSE)="", "", VLOOKUP($G421, 'Enter DVID'!$A$1:$D$61, 4, FALSE)), "")</f>
        <v>STS_SUBSTSOURCE</v>
      </c>
    </row>
    <row r="422" spans="1:12" x14ac:dyDescent="0.25">
      <c r="G422" s="20" t="s">
        <v>120</v>
      </c>
      <c r="H422" s="34" t="str">
        <f>IFERROR(IF(VLOOKUP($G422, 'Enter DVID'!$A$1:$C$61, 2, FALSE)="", "", VLOOKUP($G422, 'Enter DVID'!$A$1:$C$61, 2, FALSE)), "")</f>
        <v>349</v>
      </c>
      <c r="I422" s="34" t="str">
        <f>IFERROR(IF(VLOOKUP($G422, 'Enter DVID'!$A$1:$C$61, 3, FALSE)="", "", VLOOKUP($G422, 'Enter DVID'!$A$1:$C$61, 3, FALSE)), "")</f>
        <v>U1</v>
      </c>
      <c r="K422" s="34" t="str">
        <f>IFERROR(IF(VLOOKUP($G422, 'Enter DVID'!$A$1:$D$61, 4, FALSE)="", "", VLOOKUP($G422, 'Enter DVID'!$A$1:$D$61, 4, FALSE)), "")</f>
        <v>STS_SUBSTSTATE</v>
      </c>
    </row>
    <row r="423" spans="1:12" x14ac:dyDescent="0.25">
      <c r="G423" s="20" t="s">
        <v>131</v>
      </c>
      <c r="H423" s="34" t="str">
        <f>IFERROR(IF(VLOOKUP($G423, 'Enter DVID'!$A$1:$C$61, 2, FALSE)="", "", VLOOKUP($G423, 'Enter DVID'!$A$1:$C$61, 2, FALSE)), "")</f>
        <v>350</v>
      </c>
      <c r="I423" s="34" t="str">
        <f>IFERROR(IF(VLOOKUP($G423, 'Enter DVID'!$A$1:$C$61, 3, FALSE)="", "", VLOOKUP($G423, 'Enter DVID'!$A$1:$C$61, 3, FALSE)), "")</f>
        <v>U1</v>
      </c>
      <c r="K423" s="34" t="str">
        <f>IFERROR(IF(VLOOKUP($G423, 'Enter DVID'!$A$1:$D$61, 4, FALSE)="", "", VLOOKUP($G423, 'Enter DVID'!$A$1:$D$61, 4, FALSE)), "")</f>
        <v>STS_SUBSTTYPE</v>
      </c>
    </row>
    <row r="424" spans="1:12" x14ac:dyDescent="0.25">
      <c r="G424" s="20" t="s">
        <v>121</v>
      </c>
      <c r="H424" s="34" t="str">
        <f>IFERROR(IF(VLOOKUP($G424, 'Enter DVID'!$A$1:$C$61, 2, FALSE)="", "", VLOOKUP($G424, 'Enter DVID'!$A$1:$C$61, 2, FALSE)), "")</f>
        <v>351</v>
      </c>
      <c r="I424" s="34" t="str">
        <f>IFERROR(IF(VLOOKUP($G424, 'Enter DVID'!$A$1:$C$61, 3, FALSE)="", "", VLOOKUP($G424, 'Enter DVID'!$A$1:$C$61, 3, FALSE)), "")</f>
        <v>U1</v>
      </c>
      <c r="K424" s="34" t="str">
        <f>IFERROR(IF(VLOOKUP($G424, 'Enter DVID'!$A$1:$D$61, 4, FALSE)="", "", VLOOKUP($G424, 'Enter DVID'!$A$1:$D$61, 4, FALSE)), "")</f>
        <v>STS_SUBSTUSAGE</v>
      </c>
    </row>
    <row r="425" spans="1:12" x14ac:dyDescent="0.25">
      <c r="G425" s="20" t="s">
        <v>269</v>
      </c>
      <c r="H425" s="34" t="str">
        <f>IFERROR(IF(VLOOKUP($G425, 'Enter DVID'!$A$1:$C$61, 2, FALSE)="", "", VLOOKUP($G425, 'Enter DVID'!$A$1:$C$61, 2, FALSE)), "")</f>
        <v>4171</v>
      </c>
      <c r="I425" s="34" t="str">
        <f>IFERROR(IF(VLOOKUP($G425, 'Enter DVID'!$A$1:$C$61, 3, FALSE)="", "", VLOOKUP($G425, 'Enter DVID'!$A$1:$C$61, 3, FALSE)), "")</f>
        <v>List</v>
      </c>
      <c r="K425" s="34" t="str">
        <f>IFERROR(IF(VLOOKUP($G425, 'Enter DVID'!$A$1:$D$61, 4, FALSE)="", "", VLOOKUP($G425, 'Enter DVID'!$A$1:$D$61, 4, FALSE)), "")</f>
        <v>SUBSTSTATE_LIST</v>
      </c>
    </row>
    <row r="427" spans="1:12" ht="16.5" thickBot="1" x14ac:dyDescent="0.3">
      <c r="A427" s="1" t="s">
        <v>14</v>
      </c>
      <c r="B427" s="1" t="s">
        <v>15</v>
      </c>
      <c r="C427" s="3" t="s">
        <v>16</v>
      </c>
      <c r="D427" s="3" t="s">
        <v>122</v>
      </c>
      <c r="E427" s="3" t="s">
        <v>255</v>
      </c>
      <c r="F427" s="15" t="s">
        <v>126</v>
      </c>
      <c r="G427" s="1" t="s">
        <v>123</v>
      </c>
      <c r="H427" s="35" t="s">
        <v>124</v>
      </c>
      <c r="I427" s="35" t="s">
        <v>125</v>
      </c>
      <c r="J427" s="15" t="s">
        <v>100</v>
      </c>
      <c r="K427" s="43" t="s">
        <v>101</v>
      </c>
      <c r="L427" s="15" t="s">
        <v>102</v>
      </c>
    </row>
    <row r="428" spans="1:12" ht="17.25" thickTop="1" thickBot="1" x14ac:dyDescent="0.3">
      <c r="A428" s="4">
        <v>50</v>
      </c>
      <c r="B428" s="2" t="s">
        <v>43</v>
      </c>
      <c r="C428" s="2" t="s">
        <v>115</v>
      </c>
      <c r="D428" s="2" t="s">
        <v>208</v>
      </c>
      <c r="F428" s="62" t="s">
        <v>580</v>
      </c>
      <c r="G428" s="61" t="s">
        <v>234</v>
      </c>
      <c r="H428" s="36" t="str">
        <f>IFERROR(IF(VLOOKUP($G428, 'Enter DVID'!$A$1:$C$61, 2, FALSE)="", "", VLOOKUP($G428, 'Enter DVID'!$A$1:$C$61, 2, FALSE)), "")</f>
        <v>341</v>
      </c>
      <c r="I428" s="63" t="str">
        <f>IFERROR(IF(VLOOKUP($G428, 'Enter DVID'!$A$1:$C$61, 3, FALSE)="", "", VLOOKUP($G428, 'Enter DVID'!$A$1:$C$61, 3, FALSE)), "")</f>
        <v>A</v>
      </c>
      <c r="J428" s="62" t="s">
        <v>579</v>
      </c>
      <c r="K428" s="64" t="str">
        <f>IFERROR(IF(VLOOKUP($G428, 'Enter DVID'!$A$1:$D$61, 4, FALSE)="", "", VLOOKUP($G428, 'Enter DVID'!$A$1:$D$61, 4, FALSE)), "")</f>
        <v>STS_OBJID</v>
      </c>
    </row>
    <row r="429" spans="1:12" ht="16.5" thickTop="1" x14ac:dyDescent="0.25">
      <c r="G429" s="19" t="s">
        <v>2</v>
      </c>
      <c r="H429" s="36" t="str">
        <f>IFERROR(IF(VLOOKUP($G429, 'Enter DVID'!$A$1:$C$61, 2, FALSE)="", "", VLOOKUP($G429, 'Enter DVID'!$A$1:$C$61, 2, FALSE)), "")</f>
        <v>342</v>
      </c>
      <c r="I429" s="36" t="str">
        <f>IFERROR(IF(VLOOKUP($G429, 'Enter DVID'!$A$1:$C$61, 3, FALSE)="", "", VLOOKUP($G429, 'Enter DVID'!$A$1:$C$61, 3, FALSE)), "")</f>
        <v>A</v>
      </c>
      <c r="K429" s="36" t="str">
        <f>IFERROR(IF(VLOOKUP($G429, 'Enter DVID'!$A$1:$D$61, 4, FALSE)="", "", VLOOKUP($G429, 'Enter DVID'!$A$1:$D$61, 4, FALSE)), "")</f>
        <v>STS_LOTID</v>
      </c>
    </row>
    <row r="430" spans="1:12" x14ac:dyDescent="0.25">
      <c r="G430" s="19" t="s">
        <v>235</v>
      </c>
      <c r="H430" s="36" t="str">
        <f>IFERROR(IF(VLOOKUP($G430, 'Enter DVID'!$A$1:$C$61, 2, FALSE)="", "", VLOOKUP($G430, 'Enter DVID'!$A$1:$C$61, 2, FALSE)), "")</f>
        <v>4170</v>
      </c>
      <c r="I430" s="36" t="str">
        <f>IFERROR(IF(VLOOKUP($G430, 'Enter DVID'!$A$1:$C$61, 3, FALSE)="", "", VLOOKUP($G430, 'Enter DVID'!$A$1:$C$61, 3, FALSE)), "")</f>
        <v>A</v>
      </c>
      <c r="K430" s="36" t="str">
        <f>IFERROR(IF(VLOOKUP($G430, 'Enter DVID'!$A$1:$D$61, 4, FALSE)="", "", VLOOKUP($G430, 'Enter DVID'!$A$1:$D$61, 4, FALSE)), "")</f>
        <v>STS_SLOTID</v>
      </c>
    </row>
    <row r="431" spans="1:12" x14ac:dyDescent="0.25">
      <c r="G431" s="19" t="s">
        <v>236</v>
      </c>
      <c r="H431" s="36" t="str">
        <f>IFERROR(IF(VLOOKUP($G431, 'Enter DVID'!$A$1:$C$61, 2, FALSE)="", "", VLOOKUP($G431, 'Enter DVID'!$A$1:$C$61, 2, FALSE)), "")</f>
        <v>346</v>
      </c>
      <c r="I431" s="36" t="str">
        <f>IFERROR(IF(VLOOKUP($G431, 'Enter DVID'!$A$1:$C$61, 3, FALSE)="", "", VLOOKUP($G431, 'Enter DVID'!$A$1:$C$61, 3, FALSE)), "")</f>
        <v>A</v>
      </c>
      <c r="K431" s="36" t="str">
        <f>IFERROR(IF(VLOOKUP($G431, 'Enter DVID'!$A$1:$D$61, 4, FALSE)="", "", VLOOKUP($G431, 'Enter DVID'!$A$1:$D$61, 4, FALSE)), "")</f>
        <v>STS_SUBSTLOCID</v>
      </c>
    </row>
    <row r="432" spans="1:12" x14ac:dyDescent="0.25">
      <c r="G432" s="19" t="s">
        <v>117</v>
      </c>
      <c r="H432" s="36" t="str">
        <f>IFERROR(IF(VLOOKUP($G432, 'Enter DVID'!$A$1:$C$61, 2, FALSE)="", "", VLOOKUP($G432, 'Enter DVID'!$A$1:$C$61, 2, FALSE)), "")</f>
        <v>347</v>
      </c>
      <c r="I432" s="36" t="str">
        <f>IFERROR(IF(VLOOKUP($G432, 'Enter DVID'!$A$1:$C$61, 3, FALSE)="", "", VLOOKUP($G432, 'Enter DVID'!$A$1:$C$61, 3, FALSE)), "")</f>
        <v>U1</v>
      </c>
      <c r="K432" s="36" t="str">
        <f>IFERROR(IF(VLOOKUP($G432, 'Enter DVID'!$A$1:$D$61, 4, FALSE)="", "", VLOOKUP($G432, 'Enter DVID'!$A$1:$D$61, 4, FALSE)), "")</f>
        <v>STS_SUBSTPROCSTATE</v>
      </c>
    </row>
    <row r="433" spans="1:12" x14ac:dyDescent="0.25">
      <c r="G433" s="19" t="s">
        <v>278</v>
      </c>
      <c r="H433" s="36" t="str">
        <f>IFERROR(IF(VLOOKUP($G433, 'Enter DVID'!$A$1:$C$61, 2, FALSE)="", "", VLOOKUP($G433, 'Enter DVID'!$A$1:$C$61, 2, FALSE)), "")</f>
        <v>4180</v>
      </c>
      <c r="I433" s="36" t="str">
        <f>IFERROR(IF(VLOOKUP($G433, 'Enter DVID'!$A$1:$C$61, 3, FALSE)="", "", VLOOKUP($G433, 'Enter DVID'!$A$1:$C$61, 3, FALSE)), "")</f>
        <v>A</v>
      </c>
      <c r="K433" s="36" t="str">
        <f>IFERROR(IF(VLOOKUP($G433, 'Enter DVID'!$A$1:$D$61, 4, FALSE)="", "", VLOOKUP($G433, 'Enter DVID'!$A$1:$D$61, 4, FALSE)), "")</f>
        <v>ACTIVE_PRJOBID</v>
      </c>
    </row>
    <row r="434" spans="1:12" x14ac:dyDescent="0.25">
      <c r="G434" s="19" t="s">
        <v>272</v>
      </c>
      <c r="H434" s="36" t="str">
        <f>IFERROR(IF(VLOOKUP($G434, 'Enter DVID'!$A$1:$C$61, 2, FALSE)="", "", VLOOKUP($G434, 'Enter DVID'!$A$1:$C$61, 2, FALSE)), "")</f>
        <v>4183</v>
      </c>
      <c r="I434" s="36" t="str">
        <f>IFERROR(IF(VLOOKUP($G434, 'Enter DVID'!$A$1:$C$61, 3, FALSE)="", "", VLOOKUP($G434, 'Enter DVID'!$A$1:$C$61, 3, FALSE)), "")</f>
        <v>A</v>
      </c>
      <c r="K434" s="36" t="str">
        <f>IFERROR(IF(VLOOKUP($G434, 'Enter DVID'!$A$1:$D$61, 4, FALSE)="", "", VLOOKUP($G434, 'Enter DVID'!$A$1:$D$61, 4, FALSE)), "")</f>
        <v>ACTIVE_RECIPEID</v>
      </c>
    </row>
    <row r="435" spans="1:12" x14ac:dyDescent="0.25">
      <c r="G435" s="20" t="s">
        <v>276</v>
      </c>
      <c r="H435" s="34" t="str">
        <f>IFERROR(IF(VLOOKUP($G435, 'Enter DVID'!$A$1:$C$61, 2, FALSE)="", "", VLOOKUP($G435, 'Enter DVID'!$A$1:$C$61, 2, FALSE)), "")</f>
        <v>4181</v>
      </c>
      <c r="I435" s="34" t="str">
        <f>IFERROR(IF(VLOOKUP($G435, 'Enter DVID'!$A$1:$C$61, 3, FALSE)="", "", VLOOKUP($G435, 'Enter DVID'!$A$1:$C$61, 3, FALSE)), "")</f>
        <v>U1</v>
      </c>
      <c r="K435" s="34" t="str">
        <f>IFERROR(IF(VLOOKUP($G435, 'Enter DVID'!$A$1:$D$61, 4, FALSE)="", "", VLOOKUP($G435, 'Enter DVID'!$A$1:$D$61, 4, FALSE)), "")</f>
        <v>ACTIVE_PRJOB_PORTID</v>
      </c>
    </row>
    <row r="436" spans="1:12" x14ac:dyDescent="0.25">
      <c r="G436" s="20" t="s">
        <v>275</v>
      </c>
      <c r="H436" s="34" t="str">
        <f>IFERROR(IF(VLOOKUP($G436, 'Enter DVID'!$A$1:$C$61, 2, FALSE)="", "", VLOOKUP($G436, 'Enter DVID'!$A$1:$C$61, 2, FALSE)), "")</f>
        <v>4182</v>
      </c>
      <c r="I436" s="34" t="str">
        <f>IFERROR(IF(VLOOKUP($G436, 'Enter DVID'!$A$1:$C$61, 3, FALSE)="", "", VLOOKUP($G436, 'Enter DVID'!$A$1:$C$61, 3, FALSE)), "")</f>
        <v>A</v>
      </c>
      <c r="K436" s="34" t="str">
        <f>IFERROR(IF(VLOOKUP($G436, 'Enter DVID'!$A$1:$D$61, 4, FALSE)="", "", VLOOKUP($G436, 'Enter DVID'!$A$1:$D$61, 4, FALSE)), "")</f>
        <v>ACTIVE_PRJOB_CARRIERID</v>
      </c>
    </row>
    <row r="437" spans="1:12" x14ac:dyDescent="0.25">
      <c r="G437" s="20" t="s">
        <v>5</v>
      </c>
      <c r="H437" s="34" t="str">
        <f>IFERROR(IF(VLOOKUP($G437, 'Enter DVID'!$A$1:$C$61, 2, FALSE)="", "", VLOOKUP($G437, 'Enter DVID'!$A$1:$C$61, 2, FALSE)), "")</f>
        <v/>
      </c>
      <c r="I437" s="34" t="str">
        <f>IFERROR(IF(VLOOKUP($G437, 'Enter DVID'!$A$1:$C$61, 3, FALSE)="", "", VLOOKUP($G437, 'Enter DVID'!$A$1:$C$61, 3, FALSE)), "")</f>
        <v/>
      </c>
      <c r="K437" s="34" t="str">
        <f>IFERROR(IF(VLOOKUP($G437, 'Enter DVID'!$A$1:$D$61, 4, FALSE)="", "", VLOOKUP($G437, 'Enter DVID'!$A$1:$D$61, 4, FALSE)), "")</f>
        <v/>
      </c>
    </row>
    <row r="438" spans="1:12" x14ac:dyDescent="0.25">
      <c r="G438" s="20" t="s">
        <v>19</v>
      </c>
      <c r="H438" s="34" t="str">
        <f>IFERROR(IF(VLOOKUP($G438, 'Enter DVID'!$A$1:$C$61, 2, FALSE)="", "", VLOOKUP($G438, 'Enter DVID'!$A$1:$C$61, 2, FALSE)), "")</f>
        <v>3</v>
      </c>
      <c r="I438" s="34" t="str">
        <f>IFERROR(IF(VLOOKUP($G438, 'Enter DVID'!$A$1:$C$61, 3, FALSE)="", "", VLOOKUP($G438, 'Enter DVID'!$A$1:$C$61, 3, FALSE)), "")</f>
        <v>A</v>
      </c>
      <c r="K438" s="34" t="str">
        <f>IFERROR(IF(VLOOKUP($G438, 'Enter DVID'!$A$1:$D$61, 4, FALSE)="", "", VLOOKUP($G438, 'Enter DVID'!$A$1:$D$61, 4, FALSE)), "")</f>
        <v>SYS_CLOCK</v>
      </c>
    </row>
    <row r="439" spans="1:12" x14ac:dyDescent="0.25">
      <c r="G439" s="20" t="s">
        <v>130</v>
      </c>
      <c r="H439" s="34" t="str">
        <f>IFERROR(IF(VLOOKUP($G439, 'Enter DVID'!$A$1:$C$61, 2, FALSE)="", "", VLOOKUP($G439, 'Enter DVID'!$A$1:$C$61, 2, FALSE)), "")</f>
        <v>343</v>
      </c>
      <c r="I439" s="34" t="str">
        <f>IFERROR(IF(VLOOKUP($G439, 'Enter DVID'!$A$1:$C$61, 3, FALSE)="", "", VLOOKUP($G439, 'Enter DVID'!$A$1:$C$61, 3, FALSE)), "")</f>
        <v>U1</v>
      </c>
      <c r="K439" s="34" t="str">
        <f>IFERROR(IF(VLOOKUP($G439, 'Enter DVID'!$A$1:$D$61, 4, FALSE)="", "", VLOOKUP($G439, 'Enter DVID'!$A$1:$D$61, 4, FALSE)), "")</f>
        <v>STS_MATERIALSTATUS</v>
      </c>
    </row>
    <row r="440" spans="1:12" x14ac:dyDescent="0.25">
      <c r="G440" s="20" t="s">
        <v>118</v>
      </c>
      <c r="H440" s="34" t="str">
        <f>IFERROR(IF(VLOOKUP($G440, 'Enter DVID'!$A$1:$C$61, 2, FALSE)="", "", VLOOKUP($G440, 'Enter DVID'!$A$1:$C$61, 2, FALSE)), "")</f>
        <v>348</v>
      </c>
      <c r="I440" s="34" t="str">
        <f>IFERROR(IF(VLOOKUP($G440, 'Enter DVID'!$A$1:$C$61, 3, FALSE)="", "", VLOOKUP($G440, 'Enter DVID'!$A$1:$C$61, 3, FALSE)), "")</f>
        <v>A</v>
      </c>
      <c r="K440" s="34" t="str">
        <f>IFERROR(IF(VLOOKUP($G440, 'Enter DVID'!$A$1:$D$61, 4, FALSE)="", "", VLOOKUP($G440, 'Enter DVID'!$A$1:$D$61, 4, FALSE)), "")</f>
        <v>STS_SUBSTSOURCE</v>
      </c>
    </row>
    <row r="441" spans="1:12" x14ac:dyDescent="0.25">
      <c r="G441" s="20" t="s">
        <v>120</v>
      </c>
      <c r="H441" s="34" t="str">
        <f>IFERROR(IF(VLOOKUP($G441, 'Enter DVID'!$A$1:$C$61, 2, FALSE)="", "", VLOOKUP($G441, 'Enter DVID'!$A$1:$C$61, 2, FALSE)), "")</f>
        <v>349</v>
      </c>
      <c r="I441" s="34" t="str">
        <f>IFERROR(IF(VLOOKUP($G441, 'Enter DVID'!$A$1:$C$61, 3, FALSE)="", "", VLOOKUP($G441, 'Enter DVID'!$A$1:$C$61, 3, FALSE)), "")</f>
        <v>U1</v>
      </c>
      <c r="K441" s="34" t="str">
        <f>IFERROR(IF(VLOOKUP($G441, 'Enter DVID'!$A$1:$D$61, 4, FALSE)="", "", VLOOKUP($G441, 'Enter DVID'!$A$1:$D$61, 4, FALSE)), "")</f>
        <v>STS_SUBSTSTATE</v>
      </c>
    </row>
    <row r="442" spans="1:12" x14ac:dyDescent="0.25">
      <c r="G442" s="20" t="s">
        <v>131</v>
      </c>
      <c r="H442" s="34" t="str">
        <f>IFERROR(IF(VLOOKUP($G442, 'Enter DVID'!$A$1:$C$61, 2, FALSE)="", "", VLOOKUP($G442, 'Enter DVID'!$A$1:$C$61, 2, FALSE)), "")</f>
        <v>350</v>
      </c>
      <c r="I442" s="34" t="str">
        <f>IFERROR(IF(VLOOKUP($G442, 'Enter DVID'!$A$1:$C$61, 3, FALSE)="", "", VLOOKUP($G442, 'Enter DVID'!$A$1:$C$61, 3, FALSE)), "")</f>
        <v>U1</v>
      </c>
      <c r="K442" s="34" t="str">
        <f>IFERROR(IF(VLOOKUP($G442, 'Enter DVID'!$A$1:$D$61, 4, FALSE)="", "", VLOOKUP($G442, 'Enter DVID'!$A$1:$D$61, 4, FALSE)), "")</f>
        <v>STS_SUBSTTYPE</v>
      </c>
    </row>
    <row r="443" spans="1:12" x14ac:dyDescent="0.25">
      <c r="G443" s="20" t="s">
        <v>121</v>
      </c>
      <c r="H443" s="34" t="str">
        <f>IFERROR(IF(VLOOKUP($G443, 'Enter DVID'!$A$1:$C$61, 2, FALSE)="", "", VLOOKUP($G443, 'Enter DVID'!$A$1:$C$61, 2, FALSE)), "")</f>
        <v>351</v>
      </c>
      <c r="I443" s="34" t="str">
        <f>IFERROR(IF(VLOOKUP($G443, 'Enter DVID'!$A$1:$C$61, 3, FALSE)="", "", VLOOKUP($G443, 'Enter DVID'!$A$1:$C$61, 3, FALSE)), "")</f>
        <v>U1</v>
      </c>
      <c r="K443" s="34" t="str">
        <f>IFERROR(IF(VLOOKUP($G443, 'Enter DVID'!$A$1:$D$61, 4, FALSE)="", "", VLOOKUP($G443, 'Enter DVID'!$A$1:$D$61, 4, FALSE)), "")</f>
        <v>STS_SUBSTUSAGE</v>
      </c>
    </row>
    <row r="444" spans="1:12" x14ac:dyDescent="0.25">
      <c r="G444" s="20" t="s">
        <v>269</v>
      </c>
      <c r="H444" s="34" t="str">
        <f>IFERROR(IF(VLOOKUP($G444, 'Enter DVID'!$A$1:$C$61, 2, FALSE)="", "", VLOOKUP($G444, 'Enter DVID'!$A$1:$C$61, 2, FALSE)), "")</f>
        <v>4171</v>
      </c>
      <c r="I444" s="34" t="str">
        <f>IFERROR(IF(VLOOKUP($G444, 'Enter DVID'!$A$1:$C$61, 3, FALSE)="", "", VLOOKUP($G444, 'Enter DVID'!$A$1:$C$61, 3, FALSE)), "")</f>
        <v>List</v>
      </c>
      <c r="K444" s="34" t="str">
        <f>IFERROR(IF(VLOOKUP($G444, 'Enter DVID'!$A$1:$D$61, 4, FALSE)="", "", VLOOKUP($G444, 'Enter DVID'!$A$1:$D$61, 4, FALSE)), "")</f>
        <v>SUBSTSTATE_LIST</v>
      </c>
    </row>
    <row r="446" spans="1:12" ht="16.5" thickBot="1" x14ac:dyDescent="0.3">
      <c r="A446" s="1" t="s">
        <v>14</v>
      </c>
      <c r="B446" s="1" t="s">
        <v>15</v>
      </c>
      <c r="C446" s="3" t="s">
        <v>16</v>
      </c>
      <c r="D446" s="3" t="s">
        <v>122</v>
      </c>
      <c r="E446" s="3" t="s">
        <v>255</v>
      </c>
      <c r="F446" s="15" t="s">
        <v>126</v>
      </c>
      <c r="G446" s="1" t="s">
        <v>123</v>
      </c>
      <c r="H446" s="35" t="s">
        <v>124</v>
      </c>
      <c r="I446" s="35" t="s">
        <v>125</v>
      </c>
      <c r="J446" s="15" t="s">
        <v>100</v>
      </c>
      <c r="K446" s="43" t="s">
        <v>101</v>
      </c>
      <c r="L446" s="15" t="s">
        <v>102</v>
      </c>
    </row>
    <row r="447" spans="1:12" ht="17.25" thickTop="1" thickBot="1" x14ac:dyDescent="0.3">
      <c r="A447" s="4">
        <v>51</v>
      </c>
      <c r="B447" s="2" t="s">
        <v>43</v>
      </c>
      <c r="C447" s="5" t="s">
        <v>119</v>
      </c>
      <c r="D447" s="2" t="s">
        <v>209</v>
      </c>
      <c r="F447" s="62" t="s">
        <v>582</v>
      </c>
      <c r="G447" s="61" t="s">
        <v>234</v>
      </c>
      <c r="H447" s="36" t="str">
        <f>IFERROR(IF(VLOOKUP($G447, 'Enter DVID'!$A$1:$C$61, 2, FALSE)="", "", VLOOKUP($G447, 'Enter DVID'!$A$1:$C$61, 2, FALSE)), "")</f>
        <v>341</v>
      </c>
      <c r="I447" s="63" t="str">
        <f>IFERROR(IF(VLOOKUP($G447, 'Enter DVID'!$A$1:$C$61, 3, FALSE)="", "", VLOOKUP($G447, 'Enter DVID'!$A$1:$C$61, 3, FALSE)), "")</f>
        <v>A</v>
      </c>
      <c r="J447" s="62" t="s">
        <v>581</v>
      </c>
      <c r="K447" s="64" t="str">
        <f>IFERROR(IF(VLOOKUP($G447, 'Enter DVID'!$A$1:$D$61, 4, FALSE)="", "", VLOOKUP($G447, 'Enter DVID'!$A$1:$D$61, 4, FALSE)), "")</f>
        <v>STS_OBJID</v>
      </c>
    </row>
    <row r="448" spans="1:12" ht="16.5" thickTop="1" x14ac:dyDescent="0.25">
      <c r="G448" s="19" t="s">
        <v>2</v>
      </c>
      <c r="H448" s="36" t="str">
        <f>IFERROR(IF(VLOOKUP($G448, 'Enter DVID'!$A$1:$C$61, 2, FALSE)="", "", VLOOKUP($G448, 'Enter DVID'!$A$1:$C$61, 2, FALSE)), "")</f>
        <v>342</v>
      </c>
      <c r="I448" s="36" t="str">
        <f>IFERROR(IF(VLOOKUP($G448, 'Enter DVID'!$A$1:$C$61, 3, FALSE)="", "", VLOOKUP($G448, 'Enter DVID'!$A$1:$C$61, 3, FALSE)), "")</f>
        <v>A</v>
      </c>
      <c r="K448" s="36" t="str">
        <f>IFERROR(IF(VLOOKUP($G448, 'Enter DVID'!$A$1:$D$61, 4, FALSE)="", "", VLOOKUP($G448, 'Enter DVID'!$A$1:$D$61, 4, FALSE)), "")</f>
        <v>STS_LOTID</v>
      </c>
    </row>
    <row r="449" spans="7:11" x14ac:dyDescent="0.25">
      <c r="G449" s="19" t="s">
        <v>235</v>
      </c>
      <c r="H449" s="36" t="str">
        <f>IFERROR(IF(VLOOKUP($G449, 'Enter DVID'!$A$1:$C$61, 2, FALSE)="", "", VLOOKUP($G449, 'Enter DVID'!$A$1:$C$61, 2, FALSE)), "")</f>
        <v>4170</v>
      </c>
      <c r="I449" s="36" t="str">
        <f>IFERROR(IF(VLOOKUP($G449, 'Enter DVID'!$A$1:$C$61, 3, FALSE)="", "", VLOOKUP($G449, 'Enter DVID'!$A$1:$C$61, 3, FALSE)), "")</f>
        <v>A</v>
      </c>
      <c r="K449" s="36" t="str">
        <f>IFERROR(IF(VLOOKUP($G449, 'Enter DVID'!$A$1:$D$61, 4, FALSE)="", "", VLOOKUP($G449, 'Enter DVID'!$A$1:$D$61, 4, FALSE)), "")</f>
        <v>STS_SLOTID</v>
      </c>
    </row>
    <row r="450" spans="7:11" x14ac:dyDescent="0.25">
      <c r="G450" s="19" t="s">
        <v>236</v>
      </c>
      <c r="H450" s="36" t="str">
        <f>IFERROR(IF(VLOOKUP($G450, 'Enter DVID'!$A$1:$C$61, 2, FALSE)="", "", VLOOKUP($G450, 'Enter DVID'!$A$1:$C$61, 2, FALSE)), "")</f>
        <v>346</v>
      </c>
      <c r="I450" s="36" t="str">
        <f>IFERROR(IF(VLOOKUP($G450, 'Enter DVID'!$A$1:$C$61, 3, FALSE)="", "", VLOOKUP($G450, 'Enter DVID'!$A$1:$C$61, 3, FALSE)), "")</f>
        <v>A</v>
      </c>
      <c r="K450" s="36" t="str">
        <f>IFERROR(IF(VLOOKUP($G450, 'Enter DVID'!$A$1:$D$61, 4, FALSE)="", "", VLOOKUP($G450, 'Enter DVID'!$A$1:$D$61, 4, FALSE)), "")</f>
        <v>STS_SUBSTLOCID</v>
      </c>
    </row>
    <row r="451" spans="7:11" x14ac:dyDescent="0.25">
      <c r="G451" s="19" t="s">
        <v>117</v>
      </c>
      <c r="H451" s="36" t="str">
        <f>IFERROR(IF(VLOOKUP($G451, 'Enter DVID'!$A$1:$C$61, 2, FALSE)="", "", VLOOKUP($G451, 'Enter DVID'!$A$1:$C$61, 2, FALSE)), "")</f>
        <v>347</v>
      </c>
      <c r="I451" s="36" t="str">
        <f>IFERROR(IF(VLOOKUP($G451, 'Enter DVID'!$A$1:$C$61, 3, FALSE)="", "", VLOOKUP($G451, 'Enter DVID'!$A$1:$C$61, 3, FALSE)), "")</f>
        <v>U1</v>
      </c>
      <c r="K451" s="36" t="str">
        <f>IFERROR(IF(VLOOKUP($G451, 'Enter DVID'!$A$1:$D$61, 4, FALSE)="", "", VLOOKUP($G451, 'Enter DVID'!$A$1:$D$61, 4, FALSE)), "")</f>
        <v>STS_SUBSTPROCSTATE</v>
      </c>
    </row>
    <row r="452" spans="7:11" x14ac:dyDescent="0.25">
      <c r="G452" s="19" t="s">
        <v>278</v>
      </c>
      <c r="H452" s="36" t="str">
        <f>IFERROR(IF(VLOOKUP($G452, 'Enter DVID'!$A$1:$C$61, 2, FALSE)="", "", VLOOKUP($G452, 'Enter DVID'!$A$1:$C$61, 2, FALSE)), "")</f>
        <v>4180</v>
      </c>
      <c r="I452" s="36" t="str">
        <f>IFERROR(IF(VLOOKUP($G452, 'Enter DVID'!$A$1:$C$61, 3, FALSE)="", "", VLOOKUP($G452, 'Enter DVID'!$A$1:$C$61, 3, FALSE)), "")</f>
        <v>A</v>
      </c>
      <c r="K452" s="36" t="str">
        <f>IFERROR(IF(VLOOKUP($G452, 'Enter DVID'!$A$1:$D$61, 4, FALSE)="", "", VLOOKUP($G452, 'Enter DVID'!$A$1:$D$61, 4, FALSE)), "")</f>
        <v>ACTIVE_PRJOBID</v>
      </c>
    </row>
    <row r="453" spans="7:11" x14ac:dyDescent="0.25">
      <c r="G453" s="19" t="s">
        <v>272</v>
      </c>
      <c r="H453" s="36" t="str">
        <f>IFERROR(IF(VLOOKUP($G453, 'Enter DVID'!$A$1:$C$61, 2, FALSE)="", "", VLOOKUP($G453, 'Enter DVID'!$A$1:$C$61, 2, FALSE)), "")</f>
        <v>4183</v>
      </c>
      <c r="I453" s="36" t="str">
        <f>IFERROR(IF(VLOOKUP($G453, 'Enter DVID'!$A$1:$C$61, 3, FALSE)="", "", VLOOKUP($G453, 'Enter DVID'!$A$1:$C$61, 3, FALSE)), "")</f>
        <v>A</v>
      </c>
      <c r="K453" s="36" t="str">
        <f>IFERROR(IF(VLOOKUP($G453, 'Enter DVID'!$A$1:$D$61, 4, FALSE)="", "", VLOOKUP($G453, 'Enter DVID'!$A$1:$D$61, 4, FALSE)), "")</f>
        <v>ACTIVE_RECIPEID</v>
      </c>
    </row>
    <row r="454" spans="7:11" x14ac:dyDescent="0.25">
      <c r="G454" s="20" t="s">
        <v>276</v>
      </c>
      <c r="H454" s="34" t="str">
        <f>IFERROR(IF(VLOOKUP($G454, 'Enter DVID'!$A$1:$C$61, 2, FALSE)="", "", VLOOKUP($G454, 'Enter DVID'!$A$1:$C$61, 2, FALSE)), "")</f>
        <v>4181</v>
      </c>
      <c r="I454" s="34" t="str">
        <f>IFERROR(IF(VLOOKUP($G454, 'Enter DVID'!$A$1:$C$61, 3, FALSE)="", "", VLOOKUP($G454, 'Enter DVID'!$A$1:$C$61, 3, FALSE)), "")</f>
        <v>U1</v>
      </c>
      <c r="K454" s="34" t="str">
        <f>IFERROR(IF(VLOOKUP($G454, 'Enter DVID'!$A$1:$D$61, 4, FALSE)="", "", VLOOKUP($G454, 'Enter DVID'!$A$1:$D$61, 4, FALSE)), "")</f>
        <v>ACTIVE_PRJOB_PORTID</v>
      </c>
    </row>
    <row r="455" spans="7:11" x14ac:dyDescent="0.25">
      <c r="G455" s="20" t="s">
        <v>275</v>
      </c>
      <c r="H455" s="34" t="str">
        <f>IFERROR(IF(VLOOKUP($G455, 'Enter DVID'!$A$1:$C$61, 2, FALSE)="", "", VLOOKUP($G455, 'Enter DVID'!$A$1:$C$61, 2, FALSE)), "")</f>
        <v>4182</v>
      </c>
      <c r="I455" s="34" t="str">
        <f>IFERROR(IF(VLOOKUP($G455, 'Enter DVID'!$A$1:$C$61, 3, FALSE)="", "", VLOOKUP($G455, 'Enter DVID'!$A$1:$C$61, 3, FALSE)), "")</f>
        <v>A</v>
      </c>
      <c r="K455" s="34" t="str">
        <f>IFERROR(IF(VLOOKUP($G455, 'Enter DVID'!$A$1:$D$61, 4, FALSE)="", "", VLOOKUP($G455, 'Enter DVID'!$A$1:$D$61, 4, FALSE)), "")</f>
        <v>ACTIVE_PRJOB_CARRIERID</v>
      </c>
    </row>
    <row r="456" spans="7:11" x14ac:dyDescent="0.25">
      <c r="G456" s="20" t="s">
        <v>5</v>
      </c>
      <c r="H456" s="34" t="str">
        <f>IFERROR(IF(VLOOKUP($G456, 'Enter DVID'!$A$1:$C$61, 2, FALSE)="", "", VLOOKUP($G456, 'Enter DVID'!$A$1:$C$61, 2, FALSE)), "")</f>
        <v/>
      </c>
      <c r="I456" s="34" t="str">
        <f>IFERROR(IF(VLOOKUP($G456, 'Enter DVID'!$A$1:$C$61, 3, FALSE)="", "", VLOOKUP($G456, 'Enter DVID'!$A$1:$C$61, 3, FALSE)), "")</f>
        <v/>
      </c>
      <c r="K456" s="34" t="str">
        <f>IFERROR(IF(VLOOKUP($G456, 'Enter DVID'!$A$1:$D$61, 4, FALSE)="", "", VLOOKUP($G456, 'Enter DVID'!$A$1:$D$61, 4, FALSE)), "")</f>
        <v/>
      </c>
    </row>
    <row r="457" spans="7:11" x14ac:dyDescent="0.25">
      <c r="G457" s="20" t="s">
        <v>19</v>
      </c>
      <c r="H457" s="34" t="str">
        <f>IFERROR(IF(VLOOKUP($G457, 'Enter DVID'!$A$1:$C$61, 2, FALSE)="", "", VLOOKUP($G457, 'Enter DVID'!$A$1:$C$61, 2, FALSE)), "")</f>
        <v>3</v>
      </c>
      <c r="I457" s="34" t="str">
        <f>IFERROR(IF(VLOOKUP($G457, 'Enter DVID'!$A$1:$C$61, 3, FALSE)="", "", VLOOKUP($G457, 'Enter DVID'!$A$1:$C$61, 3, FALSE)), "")</f>
        <v>A</v>
      </c>
      <c r="K457" s="34" t="str">
        <f>IFERROR(IF(VLOOKUP($G457, 'Enter DVID'!$A$1:$D$61, 4, FALSE)="", "", VLOOKUP($G457, 'Enter DVID'!$A$1:$D$61, 4, FALSE)), "")</f>
        <v>SYS_CLOCK</v>
      </c>
    </row>
    <row r="458" spans="7:11" x14ac:dyDescent="0.25">
      <c r="G458" s="20" t="s">
        <v>130</v>
      </c>
      <c r="H458" s="34" t="str">
        <f>IFERROR(IF(VLOOKUP($G458, 'Enter DVID'!$A$1:$C$61, 2, FALSE)="", "", VLOOKUP($G458, 'Enter DVID'!$A$1:$C$61, 2, FALSE)), "")</f>
        <v>343</v>
      </c>
      <c r="I458" s="34" t="str">
        <f>IFERROR(IF(VLOOKUP($G458, 'Enter DVID'!$A$1:$C$61, 3, FALSE)="", "", VLOOKUP($G458, 'Enter DVID'!$A$1:$C$61, 3, FALSE)), "")</f>
        <v>U1</v>
      </c>
      <c r="K458" s="34" t="str">
        <f>IFERROR(IF(VLOOKUP($G458, 'Enter DVID'!$A$1:$D$61, 4, FALSE)="", "", VLOOKUP($G458, 'Enter DVID'!$A$1:$D$61, 4, FALSE)), "")</f>
        <v>STS_MATERIALSTATUS</v>
      </c>
    </row>
    <row r="459" spans="7:11" x14ac:dyDescent="0.25">
      <c r="G459" s="20" t="s">
        <v>118</v>
      </c>
      <c r="H459" s="34" t="str">
        <f>IFERROR(IF(VLOOKUP($G459, 'Enter DVID'!$A$1:$C$61, 2, FALSE)="", "", VLOOKUP($G459, 'Enter DVID'!$A$1:$C$61, 2, FALSE)), "")</f>
        <v>348</v>
      </c>
      <c r="I459" s="34" t="str">
        <f>IFERROR(IF(VLOOKUP($G459, 'Enter DVID'!$A$1:$C$61, 3, FALSE)="", "", VLOOKUP($G459, 'Enter DVID'!$A$1:$C$61, 3, FALSE)), "")</f>
        <v>A</v>
      </c>
      <c r="K459" s="34" t="str">
        <f>IFERROR(IF(VLOOKUP($G459, 'Enter DVID'!$A$1:$D$61, 4, FALSE)="", "", VLOOKUP($G459, 'Enter DVID'!$A$1:$D$61, 4, FALSE)), "")</f>
        <v>STS_SUBSTSOURCE</v>
      </c>
    </row>
    <row r="460" spans="7:11" x14ac:dyDescent="0.25">
      <c r="G460" s="20" t="s">
        <v>120</v>
      </c>
      <c r="H460" s="34" t="str">
        <f>IFERROR(IF(VLOOKUP($G460, 'Enter DVID'!$A$1:$C$61, 2, FALSE)="", "", VLOOKUP($G460, 'Enter DVID'!$A$1:$C$61, 2, FALSE)), "")</f>
        <v>349</v>
      </c>
      <c r="I460" s="34" t="str">
        <f>IFERROR(IF(VLOOKUP($G460, 'Enter DVID'!$A$1:$C$61, 3, FALSE)="", "", VLOOKUP($G460, 'Enter DVID'!$A$1:$C$61, 3, FALSE)), "")</f>
        <v>U1</v>
      </c>
      <c r="K460" s="34" t="str">
        <f>IFERROR(IF(VLOOKUP($G460, 'Enter DVID'!$A$1:$D$61, 4, FALSE)="", "", VLOOKUP($G460, 'Enter DVID'!$A$1:$D$61, 4, FALSE)), "")</f>
        <v>STS_SUBSTSTATE</v>
      </c>
    </row>
    <row r="461" spans="7:11" x14ac:dyDescent="0.25">
      <c r="G461" s="20" t="s">
        <v>131</v>
      </c>
      <c r="H461" s="34" t="str">
        <f>IFERROR(IF(VLOOKUP($G461, 'Enter DVID'!$A$1:$C$61, 2, FALSE)="", "", VLOOKUP($G461, 'Enter DVID'!$A$1:$C$61, 2, FALSE)), "")</f>
        <v>350</v>
      </c>
      <c r="I461" s="34" t="str">
        <f>IFERROR(IF(VLOOKUP($G461, 'Enter DVID'!$A$1:$C$61, 3, FALSE)="", "", VLOOKUP($G461, 'Enter DVID'!$A$1:$C$61, 3, FALSE)), "")</f>
        <v>U1</v>
      </c>
      <c r="K461" s="34" t="str">
        <f>IFERROR(IF(VLOOKUP($G461, 'Enter DVID'!$A$1:$D$61, 4, FALSE)="", "", VLOOKUP($G461, 'Enter DVID'!$A$1:$D$61, 4, FALSE)), "")</f>
        <v>STS_SUBSTTYPE</v>
      </c>
    </row>
    <row r="462" spans="7:11" x14ac:dyDescent="0.25">
      <c r="G462" s="20" t="s">
        <v>121</v>
      </c>
      <c r="H462" s="34" t="str">
        <f>IFERROR(IF(VLOOKUP($G462, 'Enter DVID'!$A$1:$C$61, 2, FALSE)="", "", VLOOKUP($G462, 'Enter DVID'!$A$1:$C$61, 2, FALSE)), "")</f>
        <v>351</v>
      </c>
      <c r="I462" s="34" t="str">
        <f>IFERROR(IF(VLOOKUP($G462, 'Enter DVID'!$A$1:$C$61, 3, FALSE)="", "", VLOOKUP($G462, 'Enter DVID'!$A$1:$C$61, 3, FALSE)), "")</f>
        <v>U1</v>
      </c>
      <c r="K462" s="34" t="str">
        <f>IFERROR(IF(VLOOKUP($G462, 'Enter DVID'!$A$1:$D$61, 4, FALSE)="", "", VLOOKUP($G462, 'Enter DVID'!$A$1:$D$61, 4, FALSE)), "")</f>
        <v>STS_SUBSTUSAGE</v>
      </c>
    </row>
    <row r="463" spans="7:11" x14ac:dyDescent="0.25">
      <c r="G463" s="20" t="s">
        <v>269</v>
      </c>
      <c r="H463" s="34" t="str">
        <f>IFERROR(IF(VLOOKUP($G463, 'Enter DVID'!$A$1:$C$61, 2, FALSE)="", "", VLOOKUP($G463, 'Enter DVID'!$A$1:$C$61, 2, FALSE)), "")</f>
        <v>4171</v>
      </c>
      <c r="I463" s="34" t="str">
        <f>IFERROR(IF(VLOOKUP($G463, 'Enter DVID'!$A$1:$C$61, 3, FALSE)="", "", VLOOKUP($G463, 'Enter DVID'!$A$1:$C$61, 3, FALSE)), "")</f>
        <v>List</v>
      </c>
      <c r="K463" s="34" t="str">
        <f>IFERROR(IF(VLOOKUP($G463, 'Enter DVID'!$A$1:$D$61, 4, FALSE)="", "", VLOOKUP($G463, 'Enter DVID'!$A$1:$D$61, 4, FALSE)), "")</f>
        <v>SUBSTSTATE_LIST</v>
      </c>
    </row>
    <row r="464" spans="7:11" x14ac:dyDescent="0.25">
      <c r="G464" s="20" t="s">
        <v>129</v>
      </c>
      <c r="H464" s="34" t="str">
        <f>IFERROR(IF(VLOOKUP($G464, 'Enter DVID'!$A$1:$C$61, 2, FALSE)="", "", VLOOKUP($G464, 'Enter DVID'!$A$1:$C$61, 2, FALSE)), "")</f>
        <v>344</v>
      </c>
      <c r="I464" s="34" t="str">
        <f>IFERROR(IF(VLOOKUP($G464, 'Enter DVID'!$A$1:$C$61, 3, FALSE)="", "", VLOOKUP($G464, 'Enter DVID'!$A$1:$C$61, 3, FALSE)), "")</f>
        <v>A</v>
      </c>
      <c r="K464" s="34" t="str">
        <f>IFERROR(IF(VLOOKUP($G464, 'Enter DVID'!$A$1:$D$61, 4, FALSE)="", "", VLOOKUP($G464, 'Enter DVID'!$A$1:$D$61, 4, FALSE)), "")</f>
        <v>STS_SUBSTDESTINATION</v>
      </c>
    </row>
    <row r="466" spans="1:12" ht="16.5" thickBot="1" x14ac:dyDescent="0.3">
      <c r="A466" s="1" t="s">
        <v>14</v>
      </c>
      <c r="B466" s="1" t="s">
        <v>15</v>
      </c>
      <c r="C466" s="3" t="s">
        <v>16</v>
      </c>
      <c r="D466" s="3" t="s">
        <v>122</v>
      </c>
      <c r="E466" s="3" t="s">
        <v>255</v>
      </c>
      <c r="F466" s="15" t="s">
        <v>126</v>
      </c>
      <c r="G466" s="1" t="s">
        <v>123</v>
      </c>
      <c r="H466" s="35" t="s">
        <v>124</v>
      </c>
      <c r="I466" s="35" t="s">
        <v>125</v>
      </c>
      <c r="J466" s="15" t="s">
        <v>100</v>
      </c>
      <c r="K466" s="43" t="s">
        <v>101</v>
      </c>
      <c r="L466" s="15" t="s">
        <v>102</v>
      </c>
    </row>
    <row r="467" spans="1:12" ht="17.25" thickTop="1" thickBot="1" x14ac:dyDescent="0.3">
      <c r="A467" s="4">
        <v>52</v>
      </c>
      <c r="B467" s="2" t="s">
        <v>43</v>
      </c>
      <c r="C467" s="5" t="s">
        <v>177</v>
      </c>
      <c r="D467" s="2" t="s">
        <v>239</v>
      </c>
      <c r="F467" s="62" t="s">
        <v>584</v>
      </c>
      <c r="G467" s="61" t="s">
        <v>234</v>
      </c>
      <c r="H467" s="36" t="str">
        <f>IFERROR(IF(VLOOKUP($G467, 'Enter DVID'!$A$1:$C$61, 2, FALSE)="", "", VLOOKUP($G467, 'Enter DVID'!$A$1:$C$61, 2, FALSE)), "")</f>
        <v>341</v>
      </c>
      <c r="I467" s="63" t="str">
        <f>IFERROR(IF(VLOOKUP($G467, 'Enter DVID'!$A$1:$C$61, 3, FALSE)="", "", VLOOKUP($G467, 'Enter DVID'!$A$1:$C$61, 3, FALSE)), "")</f>
        <v>A</v>
      </c>
      <c r="J467" s="62" t="s">
        <v>583</v>
      </c>
      <c r="K467" s="64" t="str">
        <f>IFERROR(IF(VLOOKUP($G467, 'Enter DVID'!$A$1:$D$61, 4, FALSE)="", "", VLOOKUP($G467, 'Enter DVID'!$A$1:$D$61, 4, FALSE)), "")</f>
        <v>STS_OBJID</v>
      </c>
    </row>
    <row r="468" spans="1:12" ht="16.5" thickTop="1" x14ac:dyDescent="0.25">
      <c r="C468" s="2" t="s">
        <v>200</v>
      </c>
      <c r="G468" s="19" t="s">
        <v>2</v>
      </c>
      <c r="H468" s="36" t="str">
        <f>IFERROR(IF(VLOOKUP($G468, 'Enter DVID'!$A$1:$C$61, 2, FALSE)="", "", VLOOKUP($G468, 'Enter DVID'!$A$1:$C$61, 2, FALSE)), "")</f>
        <v>342</v>
      </c>
      <c r="I468" s="36" t="str">
        <f>IFERROR(IF(VLOOKUP($G468, 'Enter DVID'!$A$1:$C$61, 3, FALSE)="", "", VLOOKUP($G468, 'Enter DVID'!$A$1:$C$61, 3, FALSE)), "")</f>
        <v>A</v>
      </c>
      <c r="K468" s="36" t="str">
        <f>IFERROR(IF(VLOOKUP($G468, 'Enter DVID'!$A$1:$D$61, 4, FALSE)="", "", VLOOKUP($G468, 'Enter DVID'!$A$1:$D$61, 4, FALSE)), "")</f>
        <v>STS_LOTID</v>
      </c>
    </row>
    <row r="469" spans="1:12" x14ac:dyDescent="0.25">
      <c r="G469" s="19" t="s">
        <v>235</v>
      </c>
      <c r="H469" s="36" t="str">
        <f>IFERROR(IF(VLOOKUP($G469, 'Enter DVID'!$A$1:$C$61, 2, FALSE)="", "", VLOOKUP($G469, 'Enter DVID'!$A$1:$C$61, 2, FALSE)), "")</f>
        <v>4170</v>
      </c>
      <c r="I469" s="36" t="str">
        <f>IFERROR(IF(VLOOKUP($G469, 'Enter DVID'!$A$1:$C$61, 3, FALSE)="", "", VLOOKUP($G469, 'Enter DVID'!$A$1:$C$61, 3, FALSE)), "")</f>
        <v>A</v>
      </c>
      <c r="K469" s="36" t="str">
        <f>IFERROR(IF(VLOOKUP($G469, 'Enter DVID'!$A$1:$D$61, 4, FALSE)="", "", VLOOKUP($G469, 'Enter DVID'!$A$1:$D$61, 4, FALSE)), "")</f>
        <v>STS_SLOTID</v>
      </c>
    </row>
    <row r="470" spans="1:12" x14ac:dyDescent="0.25">
      <c r="G470" s="19" t="s">
        <v>236</v>
      </c>
      <c r="H470" s="36" t="str">
        <f>IFERROR(IF(VLOOKUP($G470, 'Enter DVID'!$A$1:$C$61, 2, FALSE)="", "", VLOOKUP($G470, 'Enter DVID'!$A$1:$C$61, 2, FALSE)), "")</f>
        <v>346</v>
      </c>
      <c r="I470" s="36" t="str">
        <f>IFERROR(IF(VLOOKUP($G470, 'Enter DVID'!$A$1:$C$61, 3, FALSE)="", "", VLOOKUP($G470, 'Enter DVID'!$A$1:$C$61, 3, FALSE)), "")</f>
        <v>A</v>
      </c>
      <c r="K470" s="36" t="str">
        <f>IFERROR(IF(VLOOKUP($G470, 'Enter DVID'!$A$1:$D$61, 4, FALSE)="", "", VLOOKUP($G470, 'Enter DVID'!$A$1:$D$61, 4, FALSE)), "")</f>
        <v>STS_SUBSTLOCID</v>
      </c>
    </row>
    <row r="471" spans="1:12" x14ac:dyDescent="0.25">
      <c r="G471" s="19" t="s">
        <v>117</v>
      </c>
      <c r="H471" s="36" t="str">
        <f>IFERROR(IF(VLOOKUP($G471, 'Enter DVID'!$A$1:$C$61, 2, FALSE)="", "", VLOOKUP($G471, 'Enter DVID'!$A$1:$C$61, 2, FALSE)), "")</f>
        <v>347</v>
      </c>
      <c r="I471" s="36" t="str">
        <f>IFERROR(IF(VLOOKUP($G471, 'Enter DVID'!$A$1:$C$61, 3, FALSE)="", "", VLOOKUP($G471, 'Enter DVID'!$A$1:$C$61, 3, FALSE)), "")</f>
        <v>U1</v>
      </c>
      <c r="K471" s="36" t="str">
        <f>IFERROR(IF(VLOOKUP($G471, 'Enter DVID'!$A$1:$D$61, 4, FALSE)="", "", VLOOKUP($G471, 'Enter DVID'!$A$1:$D$61, 4, FALSE)), "")</f>
        <v>STS_SUBSTPROCSTATE</v>
      </c>
    </row>
    <row r="472" spans="1:12" x14ac:dyDescent="0.25">
      <c r="G472" s="19" t="s">
        <v>278</v>
      </c>
      <c r="H472" s="36" t="str">
        <f>IFERROR(IF(VLOOKUP($G472, 'Enter DVID'!$A$1:$C$61, 2, FALSE)="", "", VLOOKUP($G472, 'Enter DVID'!$A$1:$C$61, 2, FALSE)), "")</f>
        <v>4180</v>
      </c>
      <c r="I472" s="36" t="str">
        <f>IFERROR(IF(VLOOKUP($G472, 'Enter DVID'!$A$1:$C$61, 3, FALSE)="", "", VLOOKUP($G472, 'Enter DVID'!$A$1:$C$61, 3, FALSE)), "")</f>
        <v>A</v>
      </c>
      <c r="K472" s="36" t="str">
        <f>IFERROR(IF(VLOOKUP($G472, 'Enter DVID'!$A$1:$D$61, 4, FALSE)="", "", VLOOKUP($G472, 'Enter DVID'!$A$1:$D$61, 4, FALSE)), "")</f>
        <v>ACTIVE_PRJOBID</v>
      </c>
    </row>
    <row r="473" spans="1:12" x14ac:dyDescent="0.25">
      <c r="G473" s="19" t="s">
        <v>272</v>
      </c>
      <c r="H473" s="36" t="str">
        <f>IFERROR(IF(VLOOKUP($G473, 'Enter DVID'!$A$1:$C$61, 2, FALSE)="", "", VLOOKUP($G473, 'Enter DVID'!$A$1:$C$61, 2, FALSE)), "")</f>
        <v>4183</v>
      </c>
      <c r="I473" s="36" t="str">
        <f>IFERROR(IF(VLOOKUP($G473, 'Enter DVID'!$A$1:$C$61, 3, FALSE)="", "", VLOOKUP($G473, 'Enter DVID'!$A$1:$C$61, 3, FALSE)), "")</f>
        <v>A</v>
      </c>
      <c r="K473" s="36" t="str">
        <f>IFERROR(IF(VLOOKUP($G473, 'Enter DVID'!$A$1:$D$61, 4, FALSE)="", "", VLOOKUP($G473, 'Enter DVID'!$A$1:$D$61, 4, FALSE)), "")</f>
        <v>ACTIVE_RECIPEID</v>
      </c>
    </row>
    <row r="474" spans="1:12" x14ac:dyDescent="0.25">
      <c r="G474" s="20" t="s">
        <v>276</v>
      </c>
      <c r="H474" s="34" t="str">
        <f>IFERROR(IF(VLOOKUP($G474, 'Enter DVID'!$A$1:$C$61, 2, FALSE)="", "", VLOOKUP($G474, 'Enter DVID'!$A$1:$C$61, 2, FALSE)), "")</f>
        <v>4181</v>
      </c>
      <c r="I474" s="34" t="str">
        <f>IFERROR(IF(VLOOKUP($G474, 'Enter DVID'!$A$1:$C$61, 3, FALSE)="", "", VLOOKUP($G474, 'Enter DVID'!$A$1:$C$61, 3, FALSE)), "")</f>
        <v>U1</v>
      </c>
      <c r="K474" s="34" t="str">
        <f>IFERROR(IF(VLOOKUP($G474, 'Enter DVID'!$A$1:$D$61, 4, FALSE)="", "", VLOOKUP($G474, 'Enter DVID'!$A$1:$D$61, 4, FALSE)), "")</f>
        <v>ACTIVE_PRJOB_PORTID</v>
      </c>
    </row>
    <row r="475" spans="1:12" x14ac:dyDescent="0.25">
      <c r="G475" s="20" t="s">
        <v>275</v>
      </c>
      <c r="H475" s="34" t="str">
        <f>IFERROR(IF(VLOOKUP($G475, 'Enter DVID'!$A$1:$C$61, 2, FALSE)="", "", VLOOKUP($G475, 'Enter DVID'!$A$1:$C$61, 2, FALSE)), "")</f>
        <v>4182</v>
      </c>
      <c r="I475" s="34" t="str">
        <f>IFERROR(IF(VLOOKUP($G475, 'Enter DVID'!$A$1:$C$61, 3, FALSE)="", "", VLOOKUP($G475, 'Enter DVID'!$A$1:$C$61, 3, FALSE)), "")</f>
        <v>A</v>
      </c>
      <c r="K475" s="34" t="str">
        <f>IFERROR(IF(VLOOKUP($G475, 'Enter DVID'!$A$1:$D$61, 4, FALSE)="", "", VLOOKUP($G475, 'Enter DVID'!$A$1:$D$61, 4, FALSE)), "")</f>
        <v>ACTIVE_PRJOB_CARRIERID</v>
      </c>
    </row>
    <row r="476" spans="1:12" x14ac:dyDescent="0.25">
      <c r="G476" s="20" t="s">
        <v>5</v>
      </c>
      <c r="H476" s="34" t="str">
        <f>IFERROR(IF(VLOOKUP($G476, 'Enter DVID'!$A$1:$C$61, 2, FALSE)="", "", VLOOKUP($G476, 'Enter DVID'!$A$1:$C$61, 2, FALSE)), "")</f>
        <v/>
      </c>
      <c r="I476" s="34" t="str">
        <f>IFERROR(IF(VLOOKUP($G476, 'Enter DVID'!$A$1:$C$61, 3, FALSE)="", "", VLOOKUP($G476, 'Enter DVID'!$A$1:$C$61, 3, FALSE)), "")</f>
        <v/>
      </c>
      <c r="K476" s="34" t="str">
        <f>IFERROR(IF(VLOOKUP($G476, 'Enter DVID'!$A$1:$D$61, 4, FALSE)="", "", VLOOKUP($G476, 'Enter DVID'!$A$1:$D$61, 4, FALSE)), "")</f>
        <v/>
      </c>
    </row>
    <row r="477" spans="1:12" x14ac:dyDescent="0.25">
      <c r="G477" s="20" t="s">
        <v>19</v>
      </c>
      <c r="H477" s="34" t="str">
        <f>IFERROR(IF(VLOOKUP($G477, 'Enter DVID'!$A$1:$C$61, 2, FALSE)="", "", VLOOKUP($G477, 'Enter DVID'!$A$1:$C$61, 2, FALSE)), "")</f>
        <v>3</v>
      </c>
      <c r="I477" s="34" t="str">
        <f>IFERROR(IF(VLOOKUP($G477, 'Enter DVID'!$A$1:$C$61, 3, FALSE)="", "", VLOOKUP($G477, 'Enter DVID'!$A$1:$C$61, 3, FALSE)), "")</f>
        <v>A</v>
      </c>
      <c r="K477" s="34" t="str">
        <f>IFERROR(IF(VLOOKUP($G477, 'Enter DVID'!$A$1:$D$61, 4, FALSE)="", "", VLOOKUP($G477, 'Enter DVID'!$A$1:$D$61, 4, FALSE)), "")</f>
        <v>SYS_CLOCK</v>
      </c>
    </row>
    <row r="478" spans="1:12" x14ac:dyDescent="0.25">
      <c r="G478" s="20" t="s">
        <v>130</v>
      </c>
      <c r="H478" s="34" t="str">
        <f>IFERROR(IF(VLOOKUP($G478, 'Enter DVID'!$A$1:$C$61, 2, FALSE)="", "", VLOOKUP($G478, 'Enter DVID'!$A$1:$C$61, 2, FALSE)), "")</f>
        <v>343</v>
      </c>
      <c r="I478" s="34" t="str">
        <f>IFERROR(IF(VLOOKUP($G478, 'Enter DVID'!$A$1:$C$61, 3, FALSE)="", "", VLOOKUP($G478, 'Enter DVID'!$A$1:$C$61, 3, FALSE)), "")</f>
        <v>U1</v>
      </c>
      <c r="K478" s="34" t="str">
        <f>IFERROR(IF(VLOOKUP($G478, 'Enter DVID'!$A$1:$D$61, 4, FALSE)="", "", VLOOKUP($G478, 'Enter DVID'!$A$1:$D$61, 4, FALSE)), "")</f>
        <v>STS_MATERIALSTATUS</v>
      </c>
    </row>
    <row r="479" spans="1:12" x14ac:dyDescent="0.25">
      <c r="G479" s="20" t="s">
        <v>118</v>
      </c>
      <c r="H479" s="34" t="str">
        <f>IFERROR(IF(VLOOKUP($G479, 'Enter DVID'!$A$1:$C$61, 2, FALSE)="", "", VLOOKUP($G479, 'Enter DVID'!$A$1:$C$61, 2, FALSE)), "")</f>
        <v>348</v>
      </c>
      <c r="I479" s="34" t="str">
        <f>IFERROR(IF(VLOOKUP($G479, 'Enter DVID'!$A$1:$C$61, 3, FALSE)="", "", VLOOKUP($G479, 'Enter DVID'!$A$1:$C$61, 3, FALSE)), "")</f>
        <v>A</v>
      </c>
      <c r="K479" s="34" t="str">
        <f>IFERROR(IF(VLOOKUP($G479, 'Enter DVID'!$A$1:$D$61, 4, FALSE)="", "", VLOOKUP($G479, 'Enter DVID'!$A$1:$D$61, 4, FALSE)), "")</f>
        <v>STS_SUBSTSOURCE</v>
      </c>
    </row>
    <row r="480" spans="1:12" x14ac:dyDescent="0.25">
      <c r="G480" s="20" t="s">
        <v>120</v>
      </c>
      <c r="H480" s="34" t="str">
        <f>IFERROR(IF(VLOOKUP($G480, 'Enter DVID'!$A$1:$C$61, 2, FALSE)="", "", VLOOKUP($G480, 'Enter DVID'!$A$1:$C$61, 2, FALSE)), "")</f>
        <v>349</v>
      </c>
      <c r="I480" s="34" t="str">
        <f>IFERROR(IF(VLOOKUP($G480, 'Enter DVID'!$A$1:$C$61, 3, FALSE)="", "", VLOOKUP($G480, 'Enter DVID'!$A$1:$C$61, 3, FALSE)), "")</f>
        <v>U1</v>
      </c>
      <c r="K480" s="34" t="str">
        <f>IFERROR(IF(VLOOKUP($G480, 'Enter DVID'!$A$1:$D$61, 4, FALSE)="", "", VLOOKUP($G480, 'Enter DVID'!$A$1:$D$61, 4, FALSE)), "")</f>
        <v>STS_SUBSTSTATE</v>
      </c>
    </row>
    <row r="481" spans="1:12" x14ac:dyDescent="0.25">
      <c r="G481" s="20" t="s">
        <v>131</v>
      </c>
      <c r="H481" s="34" t="str">
        <f>IFERROR(IF(VLOOKUP($G481, 'Enter DVID'!$A$1:$C$61, 2, FALSE)="", "", VLOOKUP($G481, 'Enter DVID'!$A$1:$C$61, 2, FALSE)), "")</f>
        <v>350</v>
      </c>
      <c r="I481" s="34" t="str">
        <f>IFERROR(IF(VLOOKUP($G481, 'Enter DVID'!$A$1:$C$61, 3, FALSE)="", "", VLOOKUP($G481, 'Enter DVID'!$A$1:$C$61, 3, FALSE)), "")</f>
        <v>U1</v>
      </c>
      <c r="K481" s="34" t="str">
        <f>IFERROR(IF(VLOOKUP($G481, 'Enter DVID'!$A$1:$D$61, 4, FALSE)="", "", VLOOKUP($G481, 'Enter DVID'!$A$1:$D$61, 4, FALSE)), "")</f>
        <v>STS_SUBSTTYPE</v>
      </c>
    </row>
    <row r="482" spans="1:12" x14ac:dyDescent="0.25">
      <c r="G482" s="20" t="s">
        <v>121</v>
      </c>
      <c r="H482" s="34" t="str">
        <f>IFERROR(IF(VLOOKUP($G482, 'Enter DVID'!$A$1:$C$61, 2, FALSE)="", "", VLOOKUP($G482, 'Enter DVID'!$A$1:$C$61, 2, FALSE)), "")</f>
        <v>351</v>
      </c>
      <c r="I482" s="34" t="str">
        <f>IFERROR(IF(VLOOKUP($G482, 'Enter DVID'!$A$1:$C$61, 3, FALSE)="", "", VLOOKUP($G482, 'Enter DVID'!$A$1:$C$61, 3, FALSE)), "")</f>
        <v>U1</v>
      </c>
      <c r="K482" s="34" t="str">
        <f>IFERROR(IF(VLOOKUP($G482, 'Enter DVID'!$A$1:$D$61, 4, FALSE)="", "", VLOOKUP($G482, 'Enter DVID'!$A$1:$D$61, 4, FALSE)), "")</f>
        <v>STS_SUBSTUSAGE</v>
      </c>
    </row>
    <row r="483" spans="1:12" x14ac:dyDescent="0.25">
      <c r="G483" s="20" t="s">
        <v>269</v>
      </c>
      <c r="H483" s="34" t="str">
        <f>IFERROR(IF(VLOOKUP($G483, 'Enter DVID'!$A$1:$C$61, 2, FALSE)="", "", VLOOKUP($G483, 'Enter DVID'!$A$1:$C$61, 2, FALSE)), "")</f>
        <v>4171</v>
      </c>
      <c r="I483" s="34" t="str">
        <f>IFERROR(IF(VLOOKUP($G483, 'Enter DVID'!$A$1:$C$61, 3, FALSE)="", "", VLOOKUP($G483, 'Enter DVID'!$A$1:$C$61, 3, FALSE)), "")</f>
        <v>List</v>
      </c>
      <c r="K483" s="34" t="str">
        <f>IFERROR(IF(VLOOKUP($G483, 'Enter DVID'!$A$1:$D$61, 4, FALSE)="", "", VLOOKUP($G483, 'Enter DVID'!$A$1:$D$61, 4, FALSE)), "")</f>
        <v>SUBSTSTATE_LIST</v>
      </c>
    </row>
    <row r="484" spans="1:12" x14ac:dyDescent="0.25">
      <c r="G484" s="20" t="s">
        <v>129</v>
      </c>
      <c r="H484" s="34" t="str">
        <f>IFERROR(IF(VLOOKUP($G484, 'Enter DVID'!$A$1:$C$61, 2, FALSE)="", "", VLOOKUP($G484, 'Enter DVID'!$A$1:$C$61, 2, FALSE)), "")</f>
        <v>344</v>
      </c>
      <c r="I484" s="34" t="str">
        <f>IFERROR(IF(VLOOKUP($G484, 'Enter DVID'!$A$1:$C$61, 3, FALSE)="", "", VLOOKUP($G484, 'Enter DVID'!$A$1:$C$61, 3, FALSE)), "")</f>
        <v>A</v>
      </c>
      <c r="K484" s="34" t="str">
        <f>IFERROR(IF(VLOOKUP($G484, 'Enter DVID'!$A$1:$D$61, 4, FALSE)="", "", VLOOKUP($G484, 'Enter DVID'!$A$1:$D$61, 4, FALSE)), "")</f>
        <v>STS_SUBSTDESTINATION</v>
      </c>
    </row>
    <row r="486" spans="1:12" ht="16.5" thickBot="1" x14ac:dyDescent="0.3">
      <c r="A486" s="1" t="s">
        <v>14</v>
      </c>
      <c r="B486" s="1" t="s">
        <v>15</v>
      </c>
      <c r="C486" s="3" t="s">
        <v>16</v>
      </c>
      <c r="D486" s="3" t="s">
        <v>122</v>
      </c>
      <c r="E486" s="3" t="s">
        <v>255</v>
      </c>
      <c r="F486" s="15" t="s">
        <v>126</v>
      </c>
      <c r="G486" s="1" t="s">
        <v>123</v>
      </c>
      <c r="H486" s="35" t="s">
        <v>124</v>
      </c>
      <c r="I486" s="35" t="s">
        <v>125</v>
      </c>
      <c r="J486" s="15" t="s">
        <v>100</v>
      </c>
      <c r="K486" s="43" t="s">
        <v>101</v>
      </c>
      <c r="L486" s="15" t="s">
        <v>102</v>
      </c>
    </row>
    <row r="487" spans="1:12" ht="17.25" thickTop="1" thickBot="1" x14ac:dyDescent="0.3">
      <c r="A487" s="4">
        <v>53</v>
      </c>
      <c r="B487" s="2" t="s">
        <v>43</v>
      </c>
      <c r="C487" s="5" t="s">
        <v>199</v>
      </c>
      <c r="D487" s="2" t="s">
        <v>202</v>
      </c>
      <c r="F487" s="62" t="s">
        <v>586</v>
      </c>
      <c r="G487" s="61" t="s">
        <v>234</v>
      </c>
      <c r="H487" s="36" t="str">
        <f>IFERROR(IF(VLOOKUP($G487, 'Enter DVID'!$A$1:$C$61, 2, FALSE)="", "", VLOOKUP($G487, 'Enter DVID'!$A$1:$C$61, 2, FALSE)), "")</f>
        <v>341</v>
      </c>
      <c r="I487" s="63" t="str">
        <f>IFERROR(IF(VLOOKUP($G487, 'Enter DVID'!$A$1:$C$61, 3, FALSE)="", "", VLOOKUP($G487, 'Enter DVID'!$A$1:$C$61, 3, FALSE)), "")</f>
        <v>A</v>
      </c>
      <c r="J487" s="62" t="s">
        <v>585</v>
      </c>
      <c r="K487" s="64" t="str">
        <f>IFERROR(IF(VLOOKUP($G487, 'Enter DVID'!$A$1:$D$61, 4, FALSE)="", "", VLOOKUP($G487, 'Enter DVID'!$A$1:$D$61, 4, FALSE)), "")</f>
        <v>STS_OBJID</v>
      </c>
    </row>
    <row r="488" spans="1:12" ht="16.5" thickTop="1" x14ac:dyDescent="0.25">
      <c r="C488" s="2" t="s">
        <v>201</v>
      </c>
      <c r="G488" s="19" t="s">
        <v>2</v>
      </c>
      <c r="H488" s="36" t="str">
        <f>IFERROR(IF(VLOOKUP($G488, 'Enter DVID'!$A$1:$C$61, 2, FALSE)="", "", VLOOKUP($G488, 'Enter DVID'!$A$1:$C$61, 2, FALSE)), "")</f>
        <v>342</v>
      </c>
      <c r="I488" s="36" t="str">
        <f>IFERROR(IF(VLOOKUP($G488, 'Enter DVID'!$A$1:$C$61, 3, FALSE)="", "", VLOOKUP($G488, 'Enter DVID'!$A$1:$C$61, 3, FALSE)), "")</f>
        <v>A</v>
      </c>
      <c r="K488" s="36" t="str">
        <f>IFERROR(IF(VLOOKUP($G488, 'Enter DVID'!$A$1:$D$61, 4, FALSE)="", "", VLOOKUP($G488, 'Enter DVID'!$A$1:$D$61, 4, FALSE)), "")</f>
        <v>STS_LOTID</v>
      </c>
    </row>
    <row r="489" spans="1:12" x14ac:dyDescent="0.25">
      <c r="G489" s="19" t="s">
        <v>235</v>
      </c>
      <c r="H489" s="36" t="str">
        <f>IFERROR(IF(VLOOKUP($G489, 'Enter DVID'!$A$1:$C$61, 2, FALSE)="", "", VLOOKUP($G489, 'Enter DVID'!$A$1:$C$61, 2, FALSE)), "")</f>
        <v>4170</v>
      </c>
      <c r="I489" s="36" t="str">
        <f>IFERROR(IF(VLOOKUP($G489, 'Enter DVID'!$A$1:$C$61, 3, FALSE)="", "", VLOOKUP($G489, 'Enter DVID'!$A$1:$C$61, 3, FALSE)), "")</f>
        <v>A</v>
      </c>
      <c r="K489" s="36" t="str">
        <f>IFERROR(IF(VLOOKUP($G489, 'Enter DVID'!$A$1:$D$61, 4, FALSE)="", "", VLOOKUP($G489, 'Enter DVID'!$A$1:$D$61, 4, FALSE)), "")</f>
        <v>STS_SLOTID</v>
      </c>
    </row>
    <row r="490" spans="1:12" x14ac:dyDescent="0.25">
      <c r="G490" s="19" t="s">
        <v>236</v>
      </c>
      <c r="H490" s="36" t="str">
        <f>IFERROR(IF(VLOOKUP($G490, 'Enter DVID'!$A$1:$C$61, 2, FALSE)="", "", VLOOKUP($G490, 'Enter DVID'!$A$1:$C$61, 2, FALSE)), "")</f>
        <v>346</v>
      </c>
      <c r="I490" s="36" t="str">
        <f>IFERROR(IF(VLOOKUP($G490, 'Enter DVID'!$A$1:$C$61, 3, FALSE)="", "", VLOOKUP($G490, 'Enter DVID'!$A$1:$C$61, 3, FALSE)), "")</f>
        <v>A</v>
      </c>
      <c r="K490" s="36" t="str">
        <f>IFERROR(IF(VLOOKUP($G490, 'Enter DVID'!$A$1:$D$61, 4, FALSE)="", "", VLOOKUP($G490, 'Enter DVID'!$A$1:$D$61, 4, FALSE)), "")</f>
        <v>STS_SUBSTLOCID</v>
      </c>
    </row>
    <row r="491" spans="1:12" x14ac:dyDescent="0.25">
      <c r="G491" s="19" t="s">
        <v>117</v>
      </c>
      <c r="H491" s="36" t="str">
        <f>IFERROR(IF(VLOOKUP($G491, 'Enter DVID'!$A$1:$C$61, 2, FALSE)="", "", VLOOKUP($G491, 'Enter DVID'!$A$1:$C$61, 2, FALSE)), "")</f>
        <v>347</v>
      </c>
      <c r="I491" s="36" t="str">
        <f>IFERROR(IF(VLOOKUP($G491, 'Enter DVID'!$A$1:$C$61, 3, FALSE)="", "", VLOOKUP($G491, 'Enter DVID'!$A$1:$C$61, 3, FALSE)), "")</f>
        <v>U1</v>
      </c>
      <c r="K491" s="36" t="str">
        <f>IFERROR(IF(VLOOKUP($G491, 'Enter DVID'!$A$1:$D$61, 4, FALSE)="", "", VLOOKUP($G491, 'Enter DVID'!$A$1:$D$61, 4, FALSE)), "")</f>
        <v>STS_SUBSTPROCSTATE</v>
      </c>
    </row>
    <row r="492" spans="1:12" x14ac:dyDescent="0.25">
      <c r="G492" s="19" t="s">
        <v>278</v>
      </c>
      <c r="H492" s="36" t="str">
        <f>IFERROR(IF(VLOOKUP($G492, 'Enter DVID'!$A$1:$C$61, 2, FALSE)="", "", VLOOKUP($G492, 'Enter DVID'!$A$1:$C$61, 2, FALSE)), "")</f>
        <v>4180</v>
      </c>
      <c r="I492" s="36" t="str">
        <f>IFERROR(IF(VLOOKUP($G492, 'Enter DVID'!$A$1:$C$61, 3, FALSE)="", "", VLOOKUP($G492, 'Enter DVID'!$A$1:$C$61, 3, FALSE)), "")</f>
        <v>A</v>
      </c>
      <c r="K492" s="36" t="str">
        <f>IFERROR(IF(VLOOKUP($G492, 'Enter DVID'!$A$1:$D$61, 4, FALSE)="", "", VLOOKUP($G492, 'Enter DVID'!$A$1:$D$61, 4, FALSE)), "")</f>
        <v>ACTIVE_PRJOBID</v>
      </c>
    </row>
    <row r="493" spans="1:12" x14ac:dyDescent="0.25">
      <c r="G493" s="19" t="s">
        <v>272</v>
      </c>
      <c r="H493" s="36" t="str">
        <f>IFERROR(IF(VLOOKUP($G493, 'Enter DVID'!$A$1:$C$61, 2, FALSE)="", "", VLOOKUP($G493, 'Enter DVID'!$A$1:$C$61, 2, FALSE)), "")</f>
        <v>4183</v>
      </c>
      <c r="I493" s="36" t="str">
        <f>IFERROR(IF(VLOOKUP($G493, 'Enter DVID'!$A$1:$C$61, 3, FALSE)="", "", VLOOKUP($G493, 'Enter DVID'!$A$1:$C$61, 3, FALSE)), "")</f>
        <v>A</v>
      </c>
      <c r="K493" s="36" t="str">
        <f>IFERROR(IF(VLOOKUP($G493, 'Enter DVID'!$A$1:$D$61, 4, FALSE)="", "", VLOOKUP($G493, 'Enter DVID'!$A$1:$D$61, 4, FALSE)), "")</f>
        <v>ACTIVE_RECIPEID</v>
      </c>
    </row>
    <row r="494" spans="1:12" x14ac:dyDescent="0.25">
      <c r="G494" s="20" t="s">
        <v>276</v>
      </c>
      <c r="H494" s="34" t="str">
        <f>IFERROR(IF(VLOOKUP($G494, 'Enter DVID'!$A$1:$C$61, 2, FALSE)="", "", VLOOKUP($G494, 'Enter DVID'!$A$1:$C$61, 2, FALSE)), "")</f>
        <v>4181</v>
      </c>
      <c r="I494" s="34" t="str">
        <f>IFERROR(IF(VLOOKUP($G494, 'Enter DVID'!$A$1:$C$61, 3, FALSE)="", "", VLOOKUP($G494, 'Enter DVID'!$A$1:$C$61, 3, FALSE)), "")</f>
        <v>U1</v>
      </c>
      <c r="K494" s="34" t="str">
        <f>IFERROR(IF(VLOOKUP($G494, 'Enter DVID'!$A$1:$D$61, 4, FALSE)="", "", VLOOKUP($G494, 'Enter DVID'!$A$1:$D$61, 4, FALSE)), "")</f>
        <v>ACTIVE_PRJOB_PORTID</v>
      </c>
    </row>
    <row r="495" spans="1:12" x14ac:dyDescent="0.25">
      <c r="G495" s="20" t="s">
        <v>275</v>
      </c>
      <c r="H495" s="34" t="str">
        <f>IFERROR(IF(VLOOKUP($G495, 'Enter DVID'!$A$1:$C$61, 2, FALSE)="", "", VLOOKUP($G495, 'Enter DVID'!$A$1:$C$61, 2, FALSE)), "")</f>
        <v>4182</v>
      </c>
      <c r="I495" s="34" t="str">
        <f>IFERROR(IF(VLOOKUP($G495, 'Enter DVID'!$A$1:$C$61, 3, FALSE)="", "", VLOOKUP($G495, 'Enter DVID'!$A$1:$C$61, 3, FALSE)), "")</f>
        <v>A</v>
      </c>
      <c r="K495" s="34" t="str">
        <f>IFERROR(IF(VLOOKUP($G495, 'Enter DVID'!$A$1:$D$61, 4, FALSE)="", "", VLOOKUP($G495, 'Enter DVID'!$A$1:$D$61, 4, FALSE)), "")</f>
        <v>ACTIVE_PRJOB_CARRIERID</v>
      </c>
    </row>
    <row r="496" spans="1:12" x14ac:dyDescent="0.25">
      <c r="G496" s="20" t="s">
        <v>5</v>
      </c>
      <c r="H496" s="34" t="str">
        <f>IFERROR(IF(VLOOKUP($G496, 'Enter DVID'!$A$1:$C$61, 2, FALSE)="", "", VLOOKUP($G496, 'Enter DVID'!$A$1:$C$61, 2, FALSE)), "")</f>
        <v/>
      </c>
      <c r="I496" s="34" t="str">
        <f>IFERROR(IF(VLOOKUP($G496, 'Enter DVID'!$A$1:$C$61, 3, FALSE)="", "", VLOOKUP($G496, 'Enter DVID'!$A$1:$C$61, 3, FALSE)), "")</f>
        <v/>
      </c>
      <c r="K496" s="34" t="str">
        <f>IFERROR(IF(VLOOKUP($G496, 'Enter DVID'!$A$1:$D$61, 4, FALSE)="", "", VLOOKUP($G496, 'Enter DVID'!$A$1:$D$61, 4, FALSE)), "")</f>
        <v/>
      </c>
    </row>
    <row r="497" spans="1:12" x14ac:dyDescent="0.25">
      <c r="G497" s="20" t="s">
        <v>19</v>
      </c>
      <c r="H497" s="34" t="str">
        <f>IFERROR(IF(VLOOKUP($G497, 'Enter DVID'!$A$1:$C$61, 2, FALSE)="", "", VLOOKUP($G497, 'Enter DVID'!$A$1:$C$61, 2, FALSE)), "")</f>
        <v>3</v>
      </c>
      <c r="I497" s="34" t="str">
        <f>IFERROR(IF(VLOOKUP($G497, 'Enter DVID'!$A$1:$C$61, 3, FALSE)="", "", VLOOKUP($G497, 'Enter DVID'!$A$1:$C$61, 3, FALSE)), "")</f>
        <v>A</v>
      </c>
      <c r="K497" s="34" t="str">
        <f>IFERROR(IF(VLOOKUP($G497, 'Enter DVID'!$A$1:$D$61, 4, FALSE)="", "", VLOOKUP($G497, 'Enter DVID'!$A$1:$D$61, 4, FALSE)), "")</f>
        <v>SYS_CLOCK</v>
      </c>
    </row>
    <row r="498" spans="1:12" x14ac:dyDescent="0.25">
      <c r="G498" s="20" t="s">
        <v>130</v>
      </c>
      <c r="H498" s="34" t="str">
        <f>IFERROR(IF(VLOOKUP($G498, 'Enter DVID'!$A$1:$C$61, 2, FALSE)="", "", VLOOKUP($G498, 'Enter DVID'!$A$1:$C$61, 2, FALSE)), "")</f>
        <v>343</v>
      </c>
      <c r="I498" s="34" t="str">
        <f>IFERROR(IF(VLOOKUP($G498, 'Enter DVID'!$A$1:$C$61, 3, FALSE)="", "", VLOOKUP($G498, 'Enter DVID'!$A$1:$C$61, 3, FALSE)), "")</f>
        <v>U1</v>
      </c>
      <c r="K498" s="34" t="str">
        <f>IFERROR(IF(VLOOKUP($G498, 'Enter DVID'!$A$1:$D$61, 4, FALSE)="", "", VLOOKUP($G498, 'Enter DVID'!$A$1:$D$61, 4, FALSE)), "")</f>
        <v>STS_MATERIALSTATUS</v>
      </c>
    </row>
    <row r="499" spans="1:12" x14ac:dyDescent="0.25">
      <c r="G499" s="20" t="s">
        <v>118</v>
      </c>
      <c r="H499" s="34" t="str">
        <f>IFERROR(IF(VLOOKUP($G499, 'Enter DVID'!$A$1:$C$61, 2, FALSE)="", "", VLOOKUP($G499, 'Enter DVID'!$A$1:$C$61, 2, FALSE)), "")</f>
        <v>348</v>
      </c>
      <c r="I499" s="34" t="str">
        <f>IFERROR(IF(VLOOKUP($G499, 'Enter DVID'!$A$1:$C$61, 3, FALSE)="", "", VLOOKUP($G499, 'Enter DVID'!$A$1:$C$61, 3, FALSE)), "")</f>
        <v>A</v>
      </c>
      <c r="K499" s="34" t="str">
        <f>IFERROR(IF(VLOOKUP($G499, 'Enter DVID'!$A$1:$D$61, 4, FALSE)="", "", VLOOKUP($G499, 'Enter DVID'!$A$1:$D$61, 4, FALSE)), "")</f>
        <v>STS_SUBSTSOURCE</v>
      </c>
    </row>
    <row r="500" spans="1:12" x14ac:dyDescent="0.25">
      <c r="G500" s="20" t="s">
        <v>120</v>
      </c>
      <c r="H500" s="34" t="str">
        <f>IFERROR(IF(VLOOKUP($G500, 'Enter DVID'!$A$1:$C$61, 2, FALSE)="", "", VLOOKUP($G500, 'Enter DVID'!$A$1:$C$61, 2, FALSE)), "")</f>
        <v>349</v>
      </c>
      <c r="I500" s="34" t="str">
        <f>IFERROR(IF(VLOOKUP($G500, 'Enter DVID'!$A$1:$C$61, 3, FALSE)="", "", VLOOKUP($G500, 'Enter DVID'!$A$1:$C$61, 3, FALSE)), "")</f>
        <v>U1</v>
      </c>
      <c r="K500" s="34" t="str">
        <f>IFERROR(IF(VLOOKUP($G500, 'Enter DVID'!$A$1:$D$61, 4, FALSE)="", "", VLOOKUP($G500, 'Enter DVID'!$A$1:$D$61, 4, FALSE)), "")</f>
        <v>STS_SUBSTSTATE</v>
      </c>
    </row>
    <row r="501" spans="1:12" x14ac:dyDescent="0.25">
      <c r="G501" s="20" t="s">
        <v>131</v>
      </c>
      <c r="H501" s="34" t="str">
        <f>IFERROR(IF(VLOOKUP($G501, 'Enter DVID'!$A$1:$C$61, 2, FALSE)="", "", VLOOKUP($G501, 'Enter DVID'!$A$1:$C$61, 2, FALSE)), "")</f>
        <v>350</v>
      </c>
      <c r="I501" s="34" t="str">
        <f>IFERROR(IF(VLOOKUP($G501, 'Enter DVID'!$A$1:$C$61, 3, FALSE)="", "", VLOOKUP($G501, 'Enter DVID'!$A$1:$C$61, 3, FALSE)), "")</f>
        <v>U1</v>
      </c>
      <c r="K501" s="34" t="str">
        <f>IFERROR(IF(VLOOKUP($G501, 'Enter DVID'!$A$1:$D$61, 4, FALSE)="", "", VLOOKUP($G501, 'Enter DVID'!$A$1:$D$61, 4, FALSE)), "")</f>
        <v>STS_SUBSTTYPE</v>
      </c>
    </row>
    <row r="502" spans="1:12" x14ac:dyDescent="0.25">
      <c r="G502" s="20" t="s">
        <v>121</v>
      </c>
      <c r="H502" s="34" t="str">
        <f>IFERROR(IF(VLOOKUP($G502, 'Enter DVID'!$A$1:$C$61, 2, FALSE)="", "", VLOOKUP($G502, 'Enter DVID'!$A$1:$C$61, 2, FALSE)), "")</f>
        <v>351</v>
      </c>
      <c r="I502" s="34" t="str">
        <f>IFERROR(IF(VLOOKUP($G502, 'Enter DVID'!$A$1:$C$61, 3, FALSE)="", "", VLOOKUP($G502, 'Enter DVID'!$A$1:$C$61, 3, FALSE)), "")</f>
        <v>U1</v>
      </c>
      <c r="K502" s="34" t="str">
        <f>IFERROR(IF(VLOOKUP($G502, 'Enter DVID'!$A$1:$D$61, 4, FALSE)="", "", VLOOKUP($G502, 'Enter DVID'!$A$1:$D$61, 4, FALSE)), "")</f>
        <v>STS_SUBSTUSAGE</v>
      </c>
    </row>
    <row r="503" spans="1:12" x14ac:dyDescent="0.25">
      <c r="G503" s="20" t="s">
        <v>269</v>
      </c>
      <c r="H503" s="34" t="str">
        <f>IFERROR(IF(VLOOKUP($G503, 'Enter DVID'!$A$1:$C$61, 2, FALSE)="", "", VLOOKUP($G503, 'Enter DVID'!$A$1:$C$61, 2, FALSE)), "")</f>
        <v>4171</v>
      </c>
      <c r="I503" s="34" t="str">
        <f>IFERROR(IF(VLOOKUP($G503, 'Enter DVID'!$A$1:$C$61, 3, FALSE)="", "", VLOOKUP($G503, 'Enter DVID'!$A$1:$C$61, 3, FALSE)), "")</f>
        <v>List</v>
      </c>
      <c r="K503" s="34" t="str">
        <f>IFERROR(IF(VLOOKUP($G503, 'Enter DVID'!$A$1:$D$61, 4, FALSE)="", "", VLOOKUP($G503, 'Enter DVID'!$A$1:$D$61, 4, FALSE)), "")</f>
        <v>SUBSTSTATE_LIST</v>
      </c>
    </row>
    <row r="504" spans="1:12" x14ac:dyDescent="0.25">
      <c r="G504" s="20" t="s">
        <v>129</v>
      </c>
      <c r="H504" s="34" t="str">
        <f>IFERROR(IF(VLOOKUP($G504, 'Enter DVID'!$A$1:$C$61, 2, FALSE)="", "", VLOOKUP($G504, 'Enter DVID'!$A$1:$C$61, 2, FALSE)), "")</f>
        <v>344</v>
      </c>
      <c r="I504" s="34" t="str">
        <f>IFERROR(IF(VLOOKUP($G504, 'Enter DVID'!$A$1:$C$61, 3, FALSE)="", "", VLOOKUP($G504, 'Enter DVID'!$A$1:$C$61, 3, FALSE)), "")</f>
        <v>A</v>
      </c>
      <c r="K504" s="34" t="str">
        <f>IFERROR(IF(VLOOKUP($G504, 'Enter DVID'!$A$1:$D$61, 4, FALSE)="", "", VLOOKUP($G504, 'Enter DVID'!$A$1:$D$61, 4, FALSE)), "")</f>
        <v>STS_SUBSTDESTINATION</v>
      </c>
    </row>
    <row r="506" spans="1:12" ht="16.5" thickBot="1" x14ac:dyDescent="0.3">
      <c r="A506" s="1" t="s">
        <v>14</v>
      </c>
      <c r="B506" s="1" t="s">
        <v>15</v>
      </c>
      <c r="C506" s="3" t="s">
        <v>16</v>
      </c>
      <c r="D506" s="3" t="s">
        <v>122</v>
      </c>
      <c r="E506" s="3" t="s">
        <v>255</v>
      </c>
      <c r="F506" s="15" t="s">
        <v>126</v>
      </c>
      <c r="G506" s="1" t="s">
        <v>123</v>
      </c>
      <c r="H506" s="35" t="s">
        <v>124</v>
      </c>
      <c r="I506" s="35" t="s">
        <v>125</v>
      </c>
      <c r="J506" s="15" t="s">
        <v>100</v>
      </c>
      <c r="K506" s="43" t="s">
        <v>101</v>
      </c>
      <c r="L506" s="15" t="s">
        <v>102</v>
      </c>
    </row>
    <row r="507" spans="1:12" ht="17.25" thickTop="1" thickBot="1" x14ac:dyDescent="0.3">
      <c r="A507" s="4">
        <v>54</v>
      </c>
      <c r="B507" s="2" t="s">
        <v>43</v>
      </c>
      <c r="C507" s="5" t="s">
        <v>178</v>
      </c>
      <c r="D507" s="2" t="s">
        <v>198</v>
      </c>
      <c r="F507" s="62" t="s">
        <v>587</v>
      </c>
      <c r="G507" s="61" t="s">
        <v>234</v>
      </c>
      <c r="H507" s="36" t="str">
        <f>IFERROR(IF(VLOOKUP($G507, 'Enter DVID'!$A$1:$C$61, 2, FALSE)="", "", VLOOKUP($G507, 'Enter DVID'!$A$1:$C$61, 2, FALSE)), "")</f>
        <v>341</v>
      </c>
      <c r="I507" s="63" t="str">
        <f>IFERROR(IF(VLOOKUP($G507, 'Enter DVID'!$A$1:$C$61, 3, FALSE)="", "", VLOOKUP($G507, 'Enter DVID'!$A$1:$C$61, 3, FALSE)), "")</f>
        <v>A</v>
      </c>
      <c r="J507" s="62" t="s">
        <v>588</v>
      </c>
      <c r="K507" s="64" t="str">
        <f>IFERROR(IF(VLOOKUP($G507, 'Enter DVID'!$A$1:$D$61, 4, FALSE)="", "", VLOOKUP($G507, 'Enter DVID'!$A$1:$D$61, 4, FALSE)), "")</f>
        <v>STS_OBJID</v>
      </c>
    </row>
    <row r="508" spans="1:12" ht="16.5" thickTop="1" x14ac:dyDescent="0.25">
      <c r="G508" s="19" t="s">
        <v>2</v>
      </c>
      <c r="H508" s="36" t="str">
        <f>IFERROR(IF(VLOOKUP($G508, 'Enter DVID'!$A$1:$C$61, 2, FALSE)="", "", VLOOKUP($G508, 'Enter DVID'!$A$1:$C$61, 2, FALSE)), "")</f>
        <v>342</v>
      </c>
      <c r="I508" s="36" t="str">
        <f>IFERROR(IF(VLOOKUP($G508, 'Enter DVID'!$A$1:$C$61, 3, FALSE)="", "", VLOOKUP($G508, 'Enter DVID'!$A$1:$C$61, 3, FALSE)), "")</f>
        <v>A</v>
      </c>
      <c r="K508" s="36" t="str">
        <f>IFERROR(IF(VLOOKUP($G508, 'Enter DVID'!$A$1:$D$61, 4, FALSE)="", "", VLOOKUP($G508, 'Enter DVID'!$A$1:$D$61, 4, FALSE)), "")</f>
        <v>STS_LOTID</v>
      </c>
    </row>
    <row r="509" spans="1:12" x14ac:dyDescent="0.25">
      <c r="G509" s="19" t="s">
        <v>235</v>
      </c>
      <c r="H509" s="36" t="str">
        <f>IFERROR(IF(VLOOKUP($G509, 'Enter DVID'!$A$1:$C$61, 2, FALSE)="", "", VLOOKUP($G509, 'Enter DVID'!$A$1:$C$61, 2, FALSE)), "")</f>
        <v>4170</v>
      </c>
      <c r="I509" s="36" t="str">
        <f>IFERROR(IF(VLOOKUP($G509, 'Enter DVID'!$A$1:$C$61, 3, FALSE)="", "", VLOOKUP($G509, 'Enter DVID'!$A$1:$C$61, 3, FALSE)), "")</f>
        <v>A</v>
      </c>
      <c r="K509" s="36" t="str">
        <f>IFERROR(IF(VLOOKUP($G509, 'Enter DVID'!$A$1:$D$61, 4, FALSE)="", "", VLOOKUP($G509, 'Enter DVID'!$A$1:$D$61, 4, FALSE)), "")</f>
        <v>STS_SLOTID</v>
      </c>
    </row>
    <row r="510" spans="1:12" x14ac:dyDescent="0.25">
      <c r="G510" s="19" t="s">
        <v>236</v>
      </c>
      <c r="H510" s="36" t="str">
        <f>IFERROR(IF(VLOOKUP($G510, 'Enter DVID'!$A$1:$C$61, 2, FALSE)="", "", VLOOKUP($G510, 'Enter DVID'!$A$1:$C$61, 2, FALSE)), "")</f>
        <v>346</v>
      </c>
      <c r="I510" s="36" t="str">
        <f>IFERROR(IF(VLOOKUP($G510, 'Enter DVID'!$A$1:$C$61, 3, FALSE)="", "", VLOOKUP($G510, 'Enter DVID'!$A$1:$C$61, 3, FALSE)), "")</f>
        <v>A</v>
      </c>
      <c r="K510" s="36" t="str">
        <f>IFERROR(IF(VLOOKUP($G510, 'Enter DVID'!$A$1:$D$61, 4, FALSE)="", "", VLOOKUP($G510, 'Enter DVID'!$A$1:$D$61, 4, FALSE)), "")</f>
        <v>STS_SUBSTLOCID</v>
      </c>
    </row>
    <row r="511" spans="1:12" x14ac:dyDescent="0.25">
      <c r="G511" s="19" t="s">
        <v>117</v>
      </c>
      <c r="H511" s="36" t="str">
        <f>IFERROR(IF(VLOOKUP($G511, 'Enter DVID'!$A$1:$C$61, 2, FALSE)="", "", VLOOKUP($G511, 'Enter DVID'!$A$1:$C$61, 2, FALSE)), "")</f>
        <v>347</v>
      </c>
      <c r="I511" s="36" t="str">
        <f>IFERROR(IF(VLOOKUP($G511, 'Enter DVID'!$A$1:$C$61, 3, FALSE)="", "", VLOOKUP($G511, 'Enter DVID'!$A$1:$C$61, 3, FALSE)), "")</f>
        <v>U1</v>
      </c>
      <c r="K511" s="36" t="str">
        <f>IFERROR(IF(VLOOKUP($G511, 'Enter DVID'!$A$1:$D$61, 4, FALSE)="", "", VLOOKUP($G511, 'Enter DVID'!$A$1:$D$61, 4, FALSE)), "")</f>
        <v>STS_SUBSTPROCSTATE</v>
      </c>
    </row>
    <row r="512" spans="1:12" x14ac:dyDescent="0.25">
      <c r="G512" s="19" t="s">
        <v>278</v>
      </c>
      <c r="H512" s="36" t="str">
        <f>IFERROR(IF(VLOOKUP($G512, 'Enter DVID'!$A$1:$C$61, 2, FALSE)="", "", VLOOKUP($G512, 'Enter DVID'!$A$1:$C$61, 2, FALSE)), "")</f>
        <v>4180</v>
      </c>
      <c r="I512" s="36" t="str">
        <f>IFERROR(IF(VLOOKUP($G512, 'Enter DVID'!$A$1:$C$61, 3, FALSE)="", "", VLOOKUP($G512, 'Enter DVID'!$A$1:$C$61, 3, FALSE)), "")</f>
        <v>A</v>
      </c>
      <c r="K512" s="36" t="str">
        <f>IFERROR(IF(VLOOKUP($G512, 'Enter DVID'!$A$1:$D$61, 4, FALSE)="", "", VLOOKUP($G512, 'Enter DVID'!$A$1:$D$61, 4, FALSE)), "")</f>
        <v>ACTIVE_PRJOBID</v>
      </c>
    </row>
    <row r="513" spans="1:12" x14ac:dyDescent="0.25">
      <c r="G513" s="19" t="s">
        <v>272</v>
      </c>
      <c r="H513" s="36" t="str">
        <f>IFERROR(IF(VLOOKUP($G513, 'Enter DVID'!$A$1:$C$61, 2, FALSE)="", "", VLOOKUP($G513, 'Enter DVID'!$A$1:$C$61, 2, FALSE)), "")</f>
        <v>4183</v>
      </c>
      <c r="I513" s="36" t="str">
        <f>IFERROR(IF(VLOOKUP($G513, 'Enter DVID'!$A$1:$C$61, 3, FALSE)="", "", VLOOKUP($G513, 'Enter DVID'!$A$1:$C$61, 3, FALSE)), "")</f>
        <v>A</v>
      </c>
      <c r="K513" s="36" t="str">
        <f>IFERROR(IF(VLOOKUP($G513, 'Enter DVID'!$A$1:$D$61, 4, FALSE)="", "", VLOOKUP($G513, 'Enter DVID'!$A$1:$D$61, 4, FALSE)), "")</f>
        <v>ACTIVE_RECIPEID</v>
      </c>
    </row>
    <row r="514" spans="1:12" x14ac:dyDescent="0.25">
      <c r="G514" s="20" t="s">
        <v>276</v>
      </c>
      <c r="H514" s="34" t="str">
        <f>IFERROR(IF(VLOOKUP($G514, 'Enter DVID'!$A$1:$C$61, 2, FALSE)="", "", VLOOKUP($G514, 'Enter DVID'!$A$1:$C$61, 2, FALSE)), "")</f>
        <v>4181</v>
      </c>
      <c r="I514" s="34" t="str">
        <f>IFERROR(IF(VLOOKUP($G514, 'Enter DVID'!$A$1:$C$61, 3, FALSE)="", "", VLOOKUP($G514, 'Enter DVID'!$A$1:$C$61, 3, FALSE)), "")</f>
        <v>U1</v>
      </c>
      <c r="K514" s="34" t="str">
        <f>IFERROR(IF(VLOOKUP($G514, 'Enter DVID'!$A$1:$D$61, 4, FALSE)="", "", VLOOKUP($G514, 'Enter DVID'!$A$1:$D$61, 4, FALSE)), "")</f>
        <v>ACTIVE_PRJOB_PORTID</v>
      </c>
    </row>
    <row r="515" spans="1:12" x14ac:dyDescent="0.25">
      <c r="G515" s="20" t="s">
        <v>275</v>
      </c>
      <c r="H515" s="34" t="str">
        <f>IFERROR(IF(VLOOKUP($G515, 'Enter DVID'!$A$1:$C$61, 2, FALSE)="", "", VLOOKUP($G515, 'Enter DVID'!$A$1:$C$61, 2, FALSE)), "")</f>
        <v>4182</v>
      </c>
      <c r="I515" s="34" t="str">
        <f>IFERROR(IF(VLOOKUP($G515, 'Enter DVID'!$A$1:$C$61, 3, FALSE)="", "", VLOOKUP($G515, 'Enter DVID'!$A$1:$C$61, 3, FALSE)), "")</f>
        <v>A</v>
      </c>
      <c r="K515" s="34" t="str">
        <f>IFERROR(IF(VLOOKUP($G515, 'Enter DVID'!$A$1:$D$61, 4, FALSE)="", "", VLOOKUP($G515, 'Enter DVID'!$A$1:$D$61, 4, FALSE)), "")</f>
        <v>ACTIVE_PRJOB_CARRIERID</v>
      </c>
    </row>
    <row r="516" spans="1:12" x14ac:dyDescent="0.25">
      <c r="G516" s="20" t="s">
        <v>5</v>
      </c>
      <c r="H516" s="34" t="str">
        <f>IFERROR(IF(VLOOKUP($G516, 'Enter DVID'!$A$1:$C$61, 2, FALSE)="", "", VLOOKUP($G516, 'Enter DVID'!$A$1:$C$61, 2, FALSE)), "")</f>
        <v/>
      </c>
      <c r="I516" s="34" t="str">
        <f>IFERROR(IF(VLOOKUP($G516, 'Enter DVID'!$A$1:$C$61, 3, FALSE)="", "", VLOOKUP($G516, 'Enter DVID'!$A$1:$C$61, 3, FALSE)), "")</f>
        <v/>
      </c>
      <c r="K516" s="34" t="str">
        <f>IFERROR(IF(VLOOKUP($G516, 'Enter DVID'!$A$1:$D$61, 4, FALSE)="", "", VLOOKUP($G516, 'Enter DVID'!$A$1:$D$61, 4, FALSE)), "")</f>
        <v/>
      </c>
    </row>
    <row r="517" spans="1:12" x14ac:dyDescent="0.25">
      <c r="G517" s="20" t="s">
        <v>19</v>
      </c>
      <c r="H517" s="34" t="str">
        <f>IFERROR(IF(VLOOKUP($G517, 'Enter DVID'!$A$1:$C$61, 2, FALSE)="", "", VLOOKUP($G517, 'Enter DVID'!$A$1:$C$61, 2, FALSE)), "")</f>
        <v>3</v>
      </c>
      <c r="I517" s="34" t="str">
        <f>IFERROR(IF(VLOOKUP($G517, 'Enter DVID'!$A$1:$C$61, 3, FALSE)="", "", VLOOKUP($G517, 'Enter DVID'!$A$1:$C$61, 3, FALSE)), "")</f>
        <v>A</v>
      </c>
      <c r="K517" s="34" t="str">
        <f>IFERROR(IF(VLOOKUP($G517, 'Enter DVID'!$A$1:$D$61, 4, FALSE)="", "", VLOOKUP($G517, 'Enter DVID'!$A$1:$D$61, 4, FALSE)), "")</f>
        <v>SYS_CLOCK</v>
      </c>
    </row>
    <row r="518" spans="1:12" x14ac:dyDescent="0.25">
      <c r="G518" s="20" t="s">
        <v>130</v>
      </c>
      <c r="H518" s="34" t="str">
        <f>IFERROR(IF(VLOOKUP($G518, 'Enter DVID'!$A$1:$C$61, 2, FALSE)="", "", VLOOKUP($G518, 'Enter DVID'!$A$1:$C$61, 2, FALSE)), "")</f>
        <v>343</v>
      </c>
      <c r="I518" s="34" t="str">
        <f>IFERROR(IF(VLOOKUP($G518, 'Enter DVID'!$A$1:$C$61, 3, FALSE)="", "", VLOOKUP($G518, 'Enter DVID'!$A$1:$C$61, 3, FALSE)), "")</f>
        <v>U1</v>
      </c>
      <c r="K518" s="34" t="str">
        <f>IFERROR(IF(VLOOKUP($G518, 'Enter DVID'!$A$1:$D$61, 4, FALSE)="", "", VLOOKUP($G518, 'Enter DVID'!$A$1:$D$61, 4, FALSE)), "")</f>
        <v>STS_MATERIALSTATUS</v>
      </c>
    </row>
    <row r="519" spans="1:12" x14ac:dyDescent="0.25">
      <c r="G519" s="20" t="s">
        <v>118</v>
      </c>
      <c r="H519" s="34" t="str">
        <f>IFERROR(IF(VLOOKUP($G519, 'Enter DVID'!$A$1:$C$61, 2, FALSE)="", "", VLOOKUP($G519, 'Enter DVID'!$A$1:$C$61, 2, FALSE)), "")</f>
        <v>348</v>
      </c>
      <c r="I519" s="34" t="str">
        <f>IFERROR(IF(VLOOKUP($G519, 'Enter DVID'!$A$1:$C$61, 3, FALSE)="", "", VLOOKUP($G519, 'Enter DVID'!$A$1:$C$61, 3, FALSE)), "")</f>
        <v>A</v>
      </c>
      <c r="K519" s="34" t="str">
        <f>IFERROR(IF(VLOOKUP($G519, 'Enter DVID'!$A$1:$D$61, 4, FALSE)="", "", VLOOKUP($G519, 'Enter DVID'!$A$1:$D$61, 4, FALSE)), "")</f>
        <v>STS_SUBSTSOURCE</v>
      </c>
    </row>
    <row r="520" spans="1:12" x14ac:dyDescent="0.25">
      <c r="G520" s="20" t="s">
        <v>120</v>
      </c>
      <c r="H520" s="34" t="str">
        <f>IFERROR(IF(VLOOKUP($G520, 'Enter DVID'!$A$1:$C$61, 2, FALSE)="", "", VLOOKUP($G520, 'Enter DVID'!$A$1:$C$61, 2, FALSE)), "")</f>
        <v>349</v>
      </c>
      <c r="I520" s="34" t="str">
        <f>IFERROR(IF(VLOOKUP($G520, 'Enter DVID'!$A$1:$C$61, 3, FALSE)="", "", VLOOKUP($G520, 'Enter DVID'!$A$1:$C$61, 3, FALSE)), "")</f>
        <v>U1</v>
      </c>
      <c r="K520" s="34" t="str">
        <f>IFERROR(IF(VLOOKUP($G520, 'Enter DVID'!$A$1:$D$61, 4, FALSE)="", "", VLOOKUP($G520, 'Enter DVID'!$A$1:$D$61, 4, FALSE)), "")</f>
        <v>STS_SUBSTSTATE</v>
      </c>
    </row>
    <row r="521" spans="1:12" x14ac:dyDescent="0.25">
      <c r="G521" s="20" t="s">
        <v>131</v>
      </c>
      <c r="H521" s="34" t="str">
        <f>IFERROR(IF(VLOOKUP($G521, 'Enter DVID'!$A$1:$C$61, 2, FALSE)="", "", VLOOKUP($G521, 'Enter DVID'!$A$1:$C$61, 2, FALSE)), "")</f>
        <v>350</v>
      </c>
      <c r="I521" s="34" t="str">
        <f>IFERROR(IF(VLOOKUP($G521, 'Enter DVID'!$A$1:$C$61, 3, FALSE)="", "", VLOOKUP($G521, 'Enter DVID'!$A$1:$C$61, 3, FALSE)), "")</f>
        <v>U1</v>
      </c>
      <c r="K521" s="34" t="str">
        <f>IFERROR(IF(VLOOKUP($G521, 'Enter DVID'!$A$1:$D$61, 4, FALSE)="", "", VLOOKUP($G521, 'Enter DVID'!$A$1:$D$61, 4, FALSE)), "")</f>
        <v>STS_SUBSTTYPE</v>
      </c>
    </row>
    <row r="522" spans="1:12" x14ac:dyDescent="0.25">
      <c r="G522" s="20" t="s">
        <v>121</v>
      </c>
      <c r="H522" s="34" t="str">
        <f>IFERROR(IF(VLOOKUP($G522, 'Enter DVID'!$A$1:$C$61, 2, FALSE)="", "", VLOOKUP($G522, 'Enter DVID'!$A$1:$C$61, 2, FALSE)), "")</f>
        <v>351</v>
      </c>
      <c r="I522" s="34" t="str">
        <f>IFERROR(IF(VLOOKUP($G522, 'Enter DVID'!$A$1:$C$61, 3, FALSE)="", "", VLOOKUP($G522, 'Enter DVID'!$A$1:$C$61, 3, FALSE)), "")</f>
        <v>U1</v>
      </c>
      <c r="K522" s="34" t="str">
        <f>IFERROR(IF(VLOOKUP($G522, 'Enter DVID'!$A$1:$D$61, 4, FALSE)="", "", VLOOKUP($G522, 'Enter DVID'!$A$1:$D$61, 4, FALSE)), "")</f>
        <v>STS_SUBSTUSAGE</v>
      </c>
    </row>
    <row r="523" spans="1:12" x14ac:dyDescent="0.25">
      <c r="G523" s="20" t="s">
        <v>269</v>
      </c>
      <c r="H523" s="34" t="str">
        <f>IFERROR(IF(VLOOKUP($G523, 'Enter DVID'!$A$1:$C$61, 2, FALSE)="", "", VLOOKUP($G523, 'Enter DVID'!$A$1:$C$61, 2, FALSE)), "")</f>
        <v>4171</v>
      </c>
      <c r="I523" s="34" t="str">
        <f>IFERROR(IF(VLOOKUP($G523, 'Enter DVID'!$A$1:$C$61, 3, FALSE)="", "", VLOOKUP($G523, 'Enter DVID'!$A$1:$C$61, 3, FALSE)), "")</f>
        <v>List</v>
      </c>
      <c r="K523" s="34" t="str">
        <f>IFERROR(IF(VLOOKUP($G523, 'Enter DVID'!$A$1:$D$61, 4, FALSE)="", "", VLOOKUP($G523, 'Enter DVID'!$A$1:$D$61, 4, FALSE)), "")</f>
        <v>SUBSTSTATE_LIST</v>
      </c>
    </row>
    <row r="524" spans="1:12" x14ac:dyDescent="0.25">
      <c r="G524" s="20" t="s">
        <v>129</v>
      </c>
      <c r="H524" s="34" t="str">
        <f>IFERROR(IF(VLOOKUP($G524, 'Enter DVID'!$A$1:$C$61, 2, FALSE)="", "", VLOOKUP($G524, 'Enter DVID'!$A$1:$C$61, 2, FALSE)), "")</f>
        <v>344</v>
      </c>
      <c r="I524" s="34" t="str">
        <f>IFERROR(IF(VLOOKUP($G524, 'Enter DVID'!$A$1:$C$61, 3, FALSE)="", "", VLOOKUP($G524, 'Enter DVID'!$A$1:$C$61, 3, FALSE)), "")</f>
        <v>A</v>
      </c>
      <c r="K524" s="34" t="str">
        <f>IFERROR(IF(VLOOKUP($G524, 'Enter DVID'!$A$1:$D$61, 4, FALSE)="", "", VLOOKUP($G524, 'Enter DVID'!$A$1:$D$61, 4, FALSE)), "")</f>
        <v>STS_SUBSTDESTINATION</v>
      </c>
    </row>
    <row r="526" spans="1:12" ht="16.5" thickBot="1" x14ac:dyDescent="0.3">
      <c r="A526" s="1" t="s">
        <v>14</v>
      </c>
      <c r="B526" s="1" t="s">
        <v>15</v>
      </c>
      <c r="C526" s="3" t="s">
        <v>16</v>
      </c>
      <c r="D526" s="3" t="s">
        <v>122</v>
      </c>
      <c r="E526" s="3" t="s">
        <v>255</v>
      </c>
      <c r="F526" s="15" t="s">
        <v>126</v>
      </c>
      <c r="G526" s="1" t="s">
        <v>123</v>
      </c>
      <c r="H526" s="35" t="s">
        <v>124</v>
      </c>
      <c r="I526" s="35" t="s">
        <v>125</v>
      </c>
      <c r="J526" s="15" t="s">
        <v>100</v>
      </c>
      <c r="K526" s="43" t="s">
        <v>101</v>
      </c>
      <c r="L526" s="15" t="s">
        <v>102</v>
      </c>
    </row>
    <row r="527" spans="1:12" ht="17.25" thickTop="1" thickBot="1" x14ac:dyDescent="0.3">
      <c r="A527" s="4">
        <v>55</v>
      </c>
      <c r="B527" s="2" t="s">
        <v>43</v>
      </c>
      <c r="C527" s="5" t="s">
        <v>116</v>
      </c>
      <c r="D527" s="2" t="s">
        <v>181</v>
      </c>
      <c r="E527" s="2" t="s">
        <v>258</v>
      </c>
      <c r="F527" s="62" t="s">
        <v>590</v>
      </c>
      <c r="G527" s="61" t="s">
        <v>234</v>
      </c>
      <c r="H527" s="36" t="str">
        <f>IFERROR(IF(VLOOKUP($G527, 'Enter DVID'!$A$1:$C$61, 2, FALSE)="", "", VLOOKUP($G527, 'Enter DVID'!$A$1:$C$61, 2, FALSE)), "")</f>
        <v>341</v>
      </c>
      <c r="I527" s="63" t="str">
        <f>IFERROR(IF(VLOOKUP($G527, 'Enter DVID'!$A$1:$C$61, 3, FALSE)="", "", VLOOKUP($G527, 'Enter DVID'!$A$1:$C$61, 3, FALSE)), "")</f>
        <v>A</v>
      </c>
      <c r="J527" s="62" t="s">
        <v>589</v>
      </c>
      <c r="K527" s="64" t="str">
        <f>IFERROR(IF(VLOOKUP($G527, 'Enter DVID'!$A$1:$D$61, 4, FALSE)="", "", VLOOKUP($G527, 'Enter DVID'!$A$1:$D$61, 4, FALSE)), "")</f>
        <v>STS_OBJID</v>
      </c>
    </row>
    <row r="528" spans="1:12" ht="16.5" thickTop="1" x14ac:dyDescent="0.25">
      <c r="G528" s="19" t="s">
        <v>2</v>
      </c>
      <c r="H528" s="36" t="str">
        <f>IFERROR(IF(VLOOKUP($G528, 'Enter DVID'!$A$1:$C$61, 2, FALSE)="", "", VLOOKUP($G528, 'Enter DVID'!$A$1:$C$61, 2, FALSE)), "")</f>
        <v>342</v>
      </c>
      <c r="I528" s="36" t="str">
        <f>IFERROR(IF(VLOOKUP($G528, 'Enter DVID'!$A$1:$C$61, 3, FALSE)="", "", VLOOKUP($G528, 'Enter DVID'!$A$1:$C$61, 3, FALSE)), "")</f>
        <v>A</v>
      </c>
      <c r="K528" s="36" t="str">
        <f>IFERROR(IF(VLOOKUP($G528, 'Enter DVID'!$A$1:$D$61, 4, FALSE)="", "", VLOOKUP($G528, 'Enter DVID'!$A$1:$D$61, 4, FALSE)), "")</f>
        <v>STS_LOTID</v>
      </c>
    </row>
    <row r="529" spans="7:11" x14ac:dyDescent="0.25">
      <c r="G529" s="19" t="s">
        <v>235</v>
      </c>
      <c r="H529" s="36" t="str">
        <f>IFERROR(IF(VLOOKUP($G529, 'Enter DVID'!$A$1:$C$61, 2, FALSE)="", "", VLOOKUP($G529, 'Enter DVID'!$A$1:$C$61, 2, FALSE)), "")</f>
        <v>4170</v>
      </c>
      <c r="I529" s="36" t="str">
        <f>IFERROR(IF(VLOOKUP($G529, 'Enter DVID'!$A$1:$C$61, 3, FALSE)="", "", VLOOKUP($G529, 'Enter DVID'!$A$1:$C$61, 3, FALSE)), "")</f>
        <v>A</v>
      </c>
      <c r="K529" s="36" t="str">
        <f>IFERROR(IF(VLOOKUP($G529, 'Enter DVID'!$A$1:$D$61, 4, FALSE)="", "", VLOOKUP($G529, 'Enter DVID'!$A$1:$D$61, 4, FALSE)), "")</f>
        <v>STS_SLOTID</v>
      </c>
    </row>
    <row r="530" spans="7:11" x14ac:dyDescent="0.25">
      <c r="G530" s="19" t="s">
        <v>236</v>
      </c>
      <c r="H530" s="36" t="str">
        <f>IFERROR(IF(VLOOKUP($G530, 'Enter DVID'!$A$1:$C$61, 2, FALSE)="", "", VLOOKUP($G530, 'Enter DVID'!$A$1:$C$61, 2, FALSE)), "")</f>
        <v>346</v>
      </c>
      <c r="I530" s="36" t="str">
        <f>IFERROR(IF(VLOOKUP($G530, 'Enter DVID'!$A$1:$C$61, 3, FALSE)="", "", VLOOKUP($G530, 'Enter DVID'!$A$1:$C$61, 3, FALSE)), "")</f>
        <v>A</v>
      </c>
      <c r="K530" s="36" t="str">
        <f>IFERROR(IF(VLOOKUP($G530, 'Enter DVID'!$A$1:$D$61, 4, FALSE)="", "", VLOOKUP($G530, 'Enter DVID'!$A$1:$D$61, 4, FALSE)), "")</f>
        <v>STS_SUBSTLOCID</v>
      </c>
    </row>
    <row r="531" spans="7:11" x14ac:dyDescent="0.25">
      <c r="G531" s="19" t="s">
        <v>117</v>
      </c>
      <c r="H531" s="36" t="str">
        <f>IFERROR(IF(VLOOKUP($G531, 'Enter DVID'!$A$1:$C$61, 2, FALSE)="", "", VLOOKUP($G531, 'Enter DVID'!$A$1:$C$61, 2, FALSE)), "")</f>
        <v>347</v>
      </c>
      <c r="I531" s="36" t="str">
        <f>IFERROR(IF(VLOOKUP($G531, 'Enter DVID'!$A$1:$C$61, 3, FALSE)="", "", VLOOKUP($G531, 'Enter DVID'!$A$1:$C$61, 3, FALSE)), "")</f>
        <v>U1</v>
      </c>
      <c r="K531" s="36" t="str">
        <f>IFERROR(IF(VLOOKUP($G531, 'Enter DVID'!$A$1:$D$61, 4, FALSE)="", "", VLOOKUP($G531, 'Enter DVID'!$A$1:$D$61, 4, FALSE)), "")</f>
        <v>STS_SUBSTPROCSTATE</v>
      </c>
    </row>
    <row r="532" spans="7:11" x14ac:dyDescent="0.25">
      <c r="G532" s="19" t="s">
        <v>278</v>
      </c>
      <c r="H532" s="36" t="str">
        <f>IFERROR(IF(VLOOKUP($G532, 'Enter DVID'!$A$1:$C$61, 2, FALSE)="", "", VLOOKUP($G532, 'Enter DVID'!$A$1:$C$61, 2, FALSE)), "")</f>
        <v>4180</v>
      </c>
      <c r="I532" s="36" t="str">
        <f>IFERROR(IF(VLOOKUP($G532, 'Enter DVID'!$A$1:$C$61, 3, FALSE)="", "", VLOOKUP($G532, 'Enter DVID'!$A$1:$C$61, 3, FALSE)), "")</f>
        <v>A</v>
      </c>
      <c r="K532" s="36" t="str">
        <f>IFERROR(IF(VLOOKUP($G532, 'Enter DVID'!$A$1:$D$61, 4, FALSE)="", "", VLOOKUP($G532, 'Enter DVID'!$A$1:$D$61, 4, FALSE)), "")</f>
        <v>ACTIVE_PRJOBID</v>
      </c>
    </row>
    <row r="533" spans="7:11" x14ac:dyDescent="0.25">
      <c r="G533" s="19" t="s">
        <v>272</v>
      </c>
      <c r="H533" s="36" t="str">
        <f>IFERROR(IF(VLOOKUP($G533, 'Enter DVID'!$A$1:$C$61, 2, FALSE)="", "", VLOOKUP($G533, 'Enter DVID'!$A$1:$C$61, 2, FALSE)), "")</f>
        <v>4183</v>
      </c>
      <c r="I533" s="36" t="str">
        <f>IFERROR(IF(VLOOKUP($G533, 'Enter DVID'!$A$1:$C$61, 3, FALSE)="", "", VLOOKUP($G533, 'Enter DVID'!$A$1:$C$61, 3, FALSE)), "")</f>
        <v>A</v>
      </c>
      <c r="K533" s="36" t="str">
        <f>IFERROR(IF(VLOOKUP($G533, 'Enter DVID'!$A$1:$D$61, 4, FALSE)="", "", VLOOKUP($G533, 'Enter DVID'!$A$1:$D$61, 4, FALSE)), "")</f>
        <v>ACTIVE_RECIPEID</v>
      </c>
    </row>
    <row r="534" spans="7:11" x14ac:dyDescent="0.25">
      <c r="G534" s="20" t="s">
        <v>276</v>
      </c>
      <c r="H534" s="34" t="str">
        <f>IFERROR(IF(VLOOKUP($G534, 'Enter DVID'!$A$1:$C$61, 2, FALSE)="", "", VLOOKUP($G534, 'Enter DVID'!$A$1:$C$61, 2, FALSE)), "")</f>
        <v>4181</v>
      </c>
      <c r="I534" s="34" t="str">
        <f>IFERROR(IF(VLOOKUP($G534, 'Enter DVID'!$A$1:$C$61, 3, FALSE)="", "", VLOOKUP($G534, 'Enter DVID'!$A$1:$C$61, 3, FALSE)), "")</f>
        <v>U1</v>
      </c>
      <c r="K534" s="34" t="str">
        <f>IFERROR(IF(VLOOKUP($G534, 'Enter DVID'!$A$1:$D$61, 4, FALSE)="", "", VLOOKUP($G534, 'Enter DVID'!$A$1:$D$61, 4, FALSE)), "")</f>
        <v>ACTIVE_PRJOB_PORTID</v>
      </c>
    </row>
    <row r="535" spans="7:11" x14ac:dyDescent="0.25">
      <c r="G535" s="20" t="s">
        <v>275</v>
      </c>
      <c r="H535" s="34" t="str">
        <f>IFERROR(IF(VLOOKUP($G535, 'Enter DVID'!$A$1:$C$61, 2, FALSE)="", "", VLOOKUP($G535, 'Enter DVID'!$A$1:$C$61, 2, FALSE)), "")</f>
        <v>4182</v>
      </c>
      <c r="I535" s="34" t="str">
        <f>IFERROR(IF(VLOOKUP($G535, 'Enter DVID'!$A$1:$C$61, 3, FALSE)="", "", VLOOKUP($G535, 'Enter DVID'!$A$1:$C$61, 3, FALSE)), "")</f>
        <v>A</v>
      </c>
      <c r="K535" s="34" t="str">
        <f>IFERROR(IF(VLOOKUP($G535, 'Enter DVID'!$A$1:$D$61, 4, FALSE)="", "", VLOOKUP($G535, 'Enter DVID'!$A$1:$D$61, 4, FALSE)), "")</f>
        <v>ACTIVE_PRJOB_CARRIERID</v>
      </c>
    </row>
    <row r="536" spans="7:11" x14ac:dyDescent="0.25">
      <c r="G536" s="20" t="s">
        <v>5</v>
      </c>
      <c r="H536" s="34" t="str">
        <f>IFERROR(IF(VLOOKUP($G536, 'Enter DVID'!$A$1:$C$61, 2, FALSE)="", "", VLOOKUP($G536, 'Enter DVID'!$A$1:$C$61, 2, FALSE)), "")</f>
        <v/>
      </c>
      <c r="I536" s="34" t="str">
        <f>IFERROR(IF(VLOOKUP($G536, 'Enter DVID'!$A$1:$C$61, 3, FALSE)="", "", VLOOKUP($G536, 'Enter DVID'!$A$1:$C$61, 3, FALSE)), "")</f>
        <v/>
      </c>
      <c r="K536" s="34" t="str">
        <f>IFERROR(IF(VLOOKUP($G536, 'Enter DVID'!$A$1:$D$61, 4, FALSE)="", "", VLOOKUP($G536, 'Enter DVID'!$A$1:$D$61, 4, FALSE)), "")</f>
        <v/>
      </c>
    </row>
    <row r="537" spans="7:11" x14ac:dyDescent="0.25">
      <c r="G537" s="20" t="s">
        <v>19</v>
      </c>
      <c r="H537" s="34" t="str">
        <f>IFERROR(IF(VLOOKUP($G537, 'Enter DVID'!$A$1:$C$61, 2, FALSE)="", "", VLOOKUP($G537, 'Enter DVID'!$A$1:$C$61, 2, FALSE)), "")</f>
        <v>3</v>
      </c>
      <c r="I537" s="34" t="str">
        <f>IFERROR(IF(VLOOKUP($G537, 'Enter DVID'!$A$1:$C$61, 3, FALSE)="", "", VLOOKUP($G537, 'Enter DVID'!$A$1:$C$61, 3, FALSE)), "")</f>
        <v>A</v>
      </c>
      <c r="K537" s="34" t="str">
        <f>IFERROR(IF(VLOOKUP($G537, 'Enter DVID'!$A$1:$D$61, 4, FALSE)="", "", VLOOKUP($G537, 'Enter DVID'!$A$1:$D$61, 4, FALSE)), "")</f>
        <v>SYS_CLOCK</v>
      </c>
    </row>
    <row r="538" spans="7:11" x14ac:dyDescent="0.25">
      <c r="G538" s="20" t="s">
        <v>130</v>
      </c>
      <c r="H538" s="34" t="str">
        <f>IFERROR(IF(VLOOKUP($G538, 'Enter DVID'!$A$1:$C$61, 2, FALSE)="", "", VLOOKUP($G538, 'Enter DVID'!$A$1:$C$61, 2, FALSE)), "")</f>
        <v>343</v>
      </c>
      <c r="I538" s="34" t="str">
        <f>IFERROR(IF(VLOOKUP($G538, 'Enter DVID'!$A$1:$C$61, 3, FALSE)="", "", VLOOKUP($G538, 'Enter DVID'!$A$1:$C$61, 3, FALSE)), "")</f>
        <v>U1</v>
      </c>
      <c r="K538" s="34" t="str">
        <f>IFERROR(IF(VLOOKUP($G538, 'Enter DVID'!$A$1:$D$61, 4, FALSE)="", "", VLOOKUP($G538, 'Enter DVID'!$A$1:$D$61, 4, FALSE)), "")</f>
        <v>STS_MATERIALSTATUS</v>
      </c>
    </row>
    <row r="539" spans="7:11" x14ac:dyDescent="0.25">
      <c r="G539" s="20" t="s">
        <v>118</v>
      </c>
      <c r="H539" s="34" t="str">
        <f>IFERROR(IF(VLOOKUP($G539, 'Enter DVID'!$A$1:$C$61, 2, FALSE)="", "", VLOOKUP($G539, 'Enter DVID'!$A$1:$C$61, 2, FALSE)), "")</f>
        <v>348</v>
      </c>
      <c r="I539" s="34" t="str">
        <f>IFERROR(IF(VLOOKUP($G539, 'Enter DVID'!$A$1:$C$61, 3, FALSE)="", "", VLOOKUP($G539, 'Enter DVID'!$A$1:$C$61, 3, FALSE)), "")</f>
        <v>A</v>
      </c>
      <c r="K539" s="34" t="str">
        <f>IFERROR(IF(VLOOKUP($G539, 'Enter DVID'!$A$1:$D$61, 4, FALSE)="", "", VLOOKUP($G539, 'Enter DVID'!$A$1:$D$61, 4, FALSE)), "")</f>
        <v>STS_SUBSTSOURCE</v>
      </c>
    </row>
    <row r="540" spans="7:11" x14ac:dyDescent="0.25">
      <c r="G540" s="20" t="s">
        <v>120</v>
      </c>
      <c r="H540" s="34" t="str">
        <f>IFERROR(IF(VLOOKUP($G540, 'Enter DVID'!$A$1:$C$61, 2, FALSE)="", "", VLOOKUP($G540, 'Enter DVID'!$A$1:$C$61, 2, FALSE)), "")</f>
        <v>349</v>
      </c>
      <c r="I540" s="34" t="str">
        <f>IFERROR(IF(VLOOKUP($G540, 'Enter DVID'!$A$1:$C$61, 3, FALSE)="", "", VLOOKUP($G540, 'Enter DVID'!$A$1:$C$61, 3, FALSE)), "")</f>
        <v>U1</v>
      </c>
      <c r="K540" s="34" t="str">
        <f>IFERROR(IF(VLOOKUP($G540, 'Enter DVID'!$A$1:$D$61, 4, FALSE)="", "", VLOOKUP($G540, 'Enter DVID'!$A$1:$D$61, 4, FALSE)), "")</f>
        <v>STS_SUBSTSTATE</v>
      </c>
    </row>
    <row r="541" spans="7:11" x14ac:dyDescent="0.25">
      <c r="G541" s="20" t="s">
        <v>131</v>
      </c>
      <c r="H541" s="34" t="str">
        <f>IFERROR(IF(VLOOKUP($G541, 'Enter DVID'!$A$1:$C$61, 2, FALSE)="", "", VLOOKUP($G541, 'Enter DVID'!$A$1:$C$61, 2, FALSE)), "")</f>
        <v>350</v>
      </c>
      <c r="I541" s="34" t="str">
        <f>IFERROR(IF(VLOOKUP($G541, 'Enter DVID'!$A$1:$C$61, 3, FALSE)="", "", VLOOKUP($G541, 'Enter DVID'!$A$1:$C$61, 3, FALSE)), "")</f>
        <v>U1</v>
      </c>
      <c r="K541" s="34" t="str">
        <f>IFERROR(IF(VLOOKUP($G541, 'Enter DVID'!$A$1:$D$61, 4, FALSE)="", "", VLOOKUP($G541, 'Enter DVID'!$A$1:$D$61, 4, FALSE)), "")</f>
        <v>STS_SUBSTTYPE</v>
      </c>
    </row>
    <row r="542" spans="7:11" x14ac:dyDescent="0.25">
      <c r="G542" s="20" t="s">
        <v>121</v>
      </c>
      <c r="H542" s="34" t="str">
        <f>IFERROR(IF(VLOOKUP($G542, 'Enter DVID'!$A$1:$C$61, 2, FALSE)="", "", VLOOKUP($G542, 'Enter DVID'!$A$1:$C$61, 2, FALSE)), "")</f>
        <v>351</v>
      </c>
      <c r="I542" s="34" t="str">
        <f>IFERROR(IF(VLOOKUP($G542, 'Enter DVID'!$A$1:$C$61, 3, FALSE)="", "", VLOOKUP($G542, 'Enter DVID'!$A$1:$C$61, 3, FALSE)), "")</f>
        <v>U1</v>
      </c>
      <c r="K542" s="34" t="str">
        <f>IFERROR(IF(VLOOKUP($G542, 'Enter DVID'!$A$1:$D$61, 4, FALSE)="", "", VLOOKUP($G542, 'Enter DVID'!$A$1:$D$61, 4, FALSE)), "")</f>
        <v>STS_SUBSTUSAGE</v>
      </c>
    </row>
    <row r="543" spans="7:11" x14ac:dyDescent="0.25">
      <c r="G543" s="20" t="s">
        <v>269</v>
      </c>
      <c r="H543" s="34" t="str">
        <f>IFERROR(IF(VLOOKUP($G543, 'Enter DVID'!$A$1:$C$61, 2, FALSE)="", "", VLOOKUP($G543, 'Enter DVID'!$A$1:$C$61, 2, FALSE)), "")</f>
        <v>4171</v>
      </c>
      <c r="I543" s="34" t="str">
        <f>IFERROR(IF(VLOOKUP($G543, 'Enter DVID'!$A$1:$C$61, 3, FALSE)="", "", VLOOKUP($G543, 'Enter DVID'!$A$1:$C$61, 3, FALSE)), "")</f>
        <v>List</v>
      </c>
      <c r="K543" s="34" t="str">
        <f>IFERROR(IF(VLOOKUP($G543, 'Enter DVID'!$A$1:$D$61, 4, FALSE)="", "", VLOOKUP($G543, 'Enter DVID'!$A$1:$D$61, 4, FALSE)), "")</f>
        <v>SUBSTSTATE_LIST</v>
      </c>
    </row>
    <row r="544" spans="7:11" x14ac:dyDescent="0.25">
      <c r="G544" s="20" t="s">
        <v>129</v>
      </c>
      <c r="H544" s="34" t="str">
        <f>IFERROR(IF(VLOOKUP($G544, 'Enter DVID'!$A$1:$C$61, 2, FALSE)="", "", VLOOKUP($G544, 'Enter DVID'!$A$1:$C$61, 2, FALSE)), "")</f>
        <v>344</v>
      </c>
      <c r="I544" s="34" t="str">
        <f>IFERROR(IF(VLOOKUP($G544, 'Enter DVID'!$A$1:$C$61, 3, FALSE)="", "", VLOOKUP($G544, 'Enter DVID'!$A$1:$C$61, 3, FALSE)), "")</f>
        <v>A</v>
      </c>
      <c r="K544" s="34" t="str">
        <f>IFERROR(IF(VLOOKUP($G544, 'Enter DVID'!$A$1:$D$61, 4, FALSE)="", "", VLOOKUP($G544, 'Enter DVID'!$A$1:$D$61, 4, FALSE)), "")</f>
        <v>STS_SUBSTDESTINATION</v>
      </c>
    </row>
    <row r="546" spans="1:12" ht="16.5" thickBot="1" x14ac:dyDescent="0.3">
      <c r="A546" s="1" t="s">
        <v>14</v>
      </c>
      <c r="B546" s="1" t="s">
        <v>15</v>
      </c>
      <c r="C546" s="3" t="s">
        <v>16</v>
      </c>
      <c r="D546" s="3" t="s">
        <v>122</v>
      </c>
      <c r="E546" s="3" t="s">
        <v>255</v>
      </c>
      <c r="F546" s="15" t="s">
        <v>126</v>
      </c>
      <c r="G546" s="1" t="s">
        <v>123</v>
      </c>
      <c r="H546" s="35" t="s">
        <v>124</v>
      </c>
      <c r="I546" s="35" t="s">
        <v>125</v>
      </c>
      <c r="J546" s="15" t="s">
        <v>100</v>
      </c>
      <c r="K546" s="43" t="s">
        <v>101</v>
      </c>
      <c r="L546" s="15" t="s">
        <v>102</v>
      </c>
    </row>
    <row r="547" spans="1:12" ht="33" thickTop="1" thickBot="1" x14ac:dyDescent="0.3">
      <c r="A547" s="4">
        <v>56</v>
      </c>
      <c r="B547" s="2" t="s">
        <v>43</v>
      </c>
      <c r="C547" s="5" t="s">
        <v>179</v>
      </c>
      <c r="D547" s="2" t="s">
        <v>182</v>
      </c>
      <c r="E547" s="2" t="s">
        <v>259</v>
      </c>
      <c r="F547" s="62" t="s">
        <v>591</v>
      </c>
      <c r="G547" s="61" t="s">
        <v>234</v>
      </c>
      <c r="H547" s="36" t="str">
        <f>IFERROR(IF(VLOOKUP($G547, 'Enter DVID'!$A$1:$C$61, 2, FALSE)="", "", VLOOKUP($G547, 'Enter DVID'!$A$1:$C$61, 2, FALSE)), "")</f>
        <v>341</v>
      </c>
      <c r="I547" s="63" t="str">
        <f>IFERROR(IF(VLOOKUP($G547, 'Enter DVID'!$A$1:$C$61, 3, FALSE)="", "", VLOOKUP($G547, 'Enter DVID'!$A$1:$C$61, 3, FALSE)), "")</f>
        <v>A</v>
      </c>
      <c r="J547" s="62" t="s">
        <v>592</v>
      </c>
      <c r="K547" s="64" t="str">
        <f>IFERROR(IF(VLOOKUP($G547, 'Enter DVID'!$A$1:$D$61, 4, FALSE)="", "", VLOOKUP($G547, 'Enter DVID'!$A$1:$D$61, 4, FALSE)), "")</f>
        <v>STS_OBJID</v>
      </c>
    </row>
    <row r="548" spans="1:12" ht="16.5" thickTop="1" x14ac:dyDescent="0.25">
      <c r="C548" s="2" t="s">
        <v>180</v>
      </c>
      <c r="G548" s="19" t="s">
        <v>2</v>
      </c>
      <c r="H548" s="36" t="str">
        <f>IFERROR(IF(VLOOKUP($G548, 'Enter DVID'!$A$1:$C$61, 2, FALSE)="", "", VLOOKUP($G548, 'Enter DVID'!$A$1:$C$61, 2, FALSE)), "")</f>
        <v>342</v>
      </c>
      <c r="I548" s="36" t="str">
        <f>IFERROR(IF(VLOOKUP($G548, 'Enter DVID'!$A$1:$C$61, 3, FALSE)="", "", VLOOKUP($G548, 'Enter DVID'!$A$1:$C$61, 3, FALSE)), "")</f>
        <v>A</v>
      </c>
      <c r="K548" s="36" t="str">
        <f>IFERROR(IF(VLOOKUP($G548, 'Enter DVID'!$A$1:$D$61, 4, FALSE)="", "", VLOOKUP($G548, 'Enter DVID'!$A$1:$D$61, 4, FALSE)), "")</f>
        <v>STS_LOTID</v>
      </c>
    </row>
    <row r="549" spans="1:12" x14ac:dyDescent="0.25">
      <c r="G549" s="19" t="s">
        <v>235</v>
      </c>
      <c r="H549" s="36" t="str">
        <f>IFERROR(IF(VLOOKUP($G549, 'Enter DVID'!$A$1:$C$61, 2, FALSE)="", "", VLOOKUP($G549, 'Enter DVID'!$A$1:$C$61, 2, FALSE)), "")</f>
        <v>4170</v>
      </c>
      <c r="I549" s="36" t="str">
        <f>IFERROR(IF(VLOOKUP($G549, 'Enter DVID'!$A$1:$C$61, 3, FALSE)="", "", VLOOKUP($G549, 'Enter DVID'!$A$1:$C$61, 3, FALSE)), "")</f>
        <v>A</v>
      </c>
      <c r="K549" s="36" t="str">
        <f>IFERROR(IF(VLOOKUP($G549, 'Enter DVID'!$A$1:$D$61, 4, FALSE)="", "", VLOOKUP($G549, 'Enter DVID'!$A$1:$D$61, 4, FALSE)), "")</f>
        <v>STS_SLOTID</v>
      </c>
    </row>
    <row r="550" spans="1:12" x14ac:dyDescent="0.25">
      <c r="G550" s="19" t="s">
        <v>236</v>
      </c>
      <c r="H550" s="36" t="str">
        <f>IFERROR(IF(VLOOKUP($G550, 'Enter DVID'!$A$1:$C$61, 2, FALSE)="", "", VLOOKUP($G550, 'Enter DVID'!$A$1:$C$61, 2, FALSE)), "")</f>
        <v>346</v>
      </c>
      <c r="I550" s="36" t="str">
        <f>IFERROR(IF(VLOOKUP($G550, 'Enter DVID'!$A$1:$C$61, 3, FALSE)="", "", VLOOKUP($G550, 'Enter DVID'!$A$1:$C$61, 3, FALSE)), "")</f>
        <v>A</v>
      </c>
      <c r="K550" s="36" t="str">
        <f>IFERROR(IF(VLOOKUP($G550, 'Enter DVID'!$A$1:$D$61, 4, FALSE)="", "", VLOOKUP($G550, 'Enter DVID'!$A$1:$D$61, 4, FALSE)), "")</f>
        <v>STS_SUBSTLOCID</v>
      </c>
    </row>
    <row r="551" spans="1:12" x14ac:dyDescent="0.25">
      <c r="G551" s="19" t="s">
        <v>117</v>
      </c>
      <c r="H551" s="36" t="str">
        <f>IFERROR(IF(VLOOKUP($G551, 'Enter DVID'!$A$1:$C$61, 2, FALSE)="", "", VLOOKUP($G551, 'Enter DVID'!$A$1:$C$61, 2, FALSE)), "")</f>
        <v>347</v>
      </c>
      <c r="I551" s="36" t="str">
        <f>IFERROR(IF(VLOOKUP($G551, 'Enter DVID'!$A$1:$C$61, 3, FALSE)="", "", VLOOKUP($G551, 'Enter DVID'!$A$1:$C$61, 3, FALSE)), "")</f>
        <v>U1</v>
      </c>
      <c r="K551" s="36" t="str">
        <f>IFERROR(IF(VLOOKUP($G551, 'Enter DVID'!$A$1:$D$61, 4, FALSE)="", "", VLOOKUP($G551, 'Enter DVID'!$A$1:$D$61, 4, FALSE)), "")</f>
        <v>STS_SUBSTPROCSTATE</v>
      </c>
    </row>
    <row r="552" spans="1:12" x14ac:dyDescent="0.25">
      <c r="G552" s="19" t="s">
        <v>278</v>
      </c>
      <c r="H552" s="36" t="str">
        <f>IFERROR(IF(VLOOKUP($G552, 'Enter DVID'!$A$1:$C$61, 2, FALSE)="", "", VLOOKUP($G552, 'Enter DVID'!$A$1:$C$61, 2, FALSE)), "")</f>
        <v>4180</v>
      </c>
      <c r="I552" s="36" t="str">
        <f>IFERROR(IF(VLOOKUP($G552, 'Enter DVID'!$A$1:$C$61, 3, FALSE)="", "", VLOOKUP($G552, 'Enter DVID'!$A$1:$C$61, 3, FALSE)), "")</f>
        <v>A</v>
      </c>
      <c r="K552" s="36" t="str">
        <f>IFERROR(IF(VLOOKUP($G552, 'Enter DVID'!$A$1:$D$61, 4, FALSE)="", "", VLOOKUP($G552, 'Enter DVID'!$A$1:$D$61, 4, FALSE)), "")</f>
        <v>ACTIVE_PRJOBID</v>
      </c>
    </row>
    <row r="553" spans="1:12" x14ac:dyDescent="0.25">
      <c r="G553" s="19" t="s">
        <v>272</v>
      </c>
      <c r="H553" s="36" t="str">
        <f>IFERROR(IF(VLOOKUP($G553, 'Enter DVID'!$A$1:$C$61, 2, FALSE)="", "", VLOOKUP($G553, 'Enter DVID'!$A$1:$C$61, 2, FALSE)), "")</f>
        <v>4183</v>
      </c>
      <c r="I553" s="36" t="str">
        <f>IFERROR(IF(VLOOKUP($G553, 'Enter DVID'!$A$1:$C$61, 3, FALSE)="", "", VLOOKUP($G553, 'Enter DVID'!$A$1:$C$61, 3, FALSE)), "")</f>
        <v>A</v>
      </c>
      <c r="K553" s="36" t="str">
        <f>IFERROR(IF(VLOOKUP($G553, 'Enter DVID'!$A$1:$D$61, 4, FALSE)="", "", VLOOKUP($G553, 'Enter DVID'!$A$1:$D$61, 4, FALSE)), "")</f>
        <v>ACTIVE_RECIPEID</v>
      </c>
    </row>
    <row r="554" spans="1:12" x14ac:dyDescent="0.25">
      <c r="G554" s="20" t="s">
        <v>276</v>
      </c>
      <c r="H554" s="34" t="str">
        <f>IFERROR(IF(VLOOKUP($G554, 'Enter DVID'!$A$1:$C$61, 2, FALSE)="", "", VLOOKUP($G554, 'Enter DVID'!$A$1:$C$61, 2, FALSE)), "")</f>
        <v>4181</v>
      </c>
      <c r="I554" s="34" t="str">
        <f>IFERROR(IF(VLOOKUP($G554, 'Enter DVID'!$A$1:$C$61, 3, FALSE)="", "", VLOOKUP($G554, 'Enter DVID'!$A$1:$C$61, 3, FALSE)), "")</f>
        <v>U1</v>
      </c>
      <c r="K554" s="34" t="str">
        <f>IFERROR(IF(VLOOKUP($G554, 'Enter DVID'!$A$1:$D$61, 4, FALSE)="", "", VLOOKUP($G554, 'Enter DVID'!$A$1:$D$61, 4, FALSE)), "")</f>
        <v>ACTIVE_PRJOB_PORTID</v>
      </c>
    </row>
    <row r="555" spans="1:12" x14ac:dyDescent="0.25">
      <c r="G555" s="20" t="s">
        <v>275</v>
      </c>
      <c r="H555" s="34" t="str">
        <f>IFERROR(IF(VLOOKUP($G555, 'Enter DVID'!$A$1:$C$61, 2, FALSE)="", "", VLOOKUP($G555, 'Enter DVID'!$A$1:$C$61, 2, FALSE)), "")</f>
        <v>4182</v>
      </c>
      <c r="I555" s="34" t="str">
        <f>IFERROR(IF(VLOOKUP($G555, 'Enter DVID'!$A$1:$C$61, 3, FALSE)="", "", VLOOKUP($G555, 'Enter DVID'!$A$1:$C$61, 3, FALSE)), "")</f>
        <v>A</v>
      </c>
      <c r="K555" s="34" t="str">
        <f>IFERROR(IF(VLOOKUP($G555, 'Enter DVID'!$A$1:$D$61, 4, FALSE)="", "", VLOOKUP($G555, 'Enter DVID'!$A$1:$D$61, 4, FALSE)), "")</f>
        <v>ACTIVE_PRJOB_CARRIERID</v>
      </c>
    </row>
    <row r="556" spans="1:12" x14ac:dyDescent="0.25">
      <c r="G556" s="20" t="s">
        <v>5</v>
      </c>
      <c r="H556" s="34" t="str">
        <f>IFERROR(IF(VLOOKUP($G556, 'Enter DVID'!$A$1:$C$61, 2, FALSE)="", "", VLOOKUP($G556, 'Enter DVID'!$A$1:$C$61, 2, FALSE)), "")</f>
        <v/>
      </c>
      <c r="I556" s="34" t="str">
        <f>IFERROR(IF(VLOOKUP($G556, 'Enter DVID'!$A$1:$C$61, 3, FALSE)="", "", VLOOKUP($G556, 'Enter DVID'!$A$1:$C$61, 3, FALSE)), "")</f>
        <v/>
      </c>
      <c r="K556" s="34" t="str">
        <f>IFERROR(IF(VLOOKUP($G556, 'Enter DVID'!$A$1:$D$61, 4, FALSE)="", "", VLOOKUP($G556, 'Enter DVID'!$A$1:$D$61, 4, FALSE)), "")</f>
        <v/>
      </c>
    </row>
    <row r="557" spans="1:12" x14ac:dyDescent="0.25">
      <c r="G557" s="20" t="s">
        <v>19</v>
      </c>
      <c r="H557" s="34" t="str">
        <f>IFERROR(IF(VLOOKUP($G557, 'Enter DVID'!$A$1:$C$61, 2, FALSE)="", "", VLOOKUP($G557, 'Enter DVID'!$A$1:$C$61, 2, FALSE)), "")</f>
        <v>3</v>
      </c>
      <c r="I557" s="34" t="str">
        <f>IFERROR(IF(VLOOKUP($G557, 'Enter DVID'!$A$1:$C$61, 3, FALSE)="", "", VLOOKUP($G557, 'Enter DVID'!$A$1:$C$61, 3, FALSE)), "")</f>
        <v>A</v>
      </c>
      <c r="K557" s="34" t="str">
        <f>IFERROR(IF(VLOOKUP($G557, 'Enter DVID'!$A$1:$D$61, 4, FALSE)="", "", VLOOKUP($G557, 'Enter DVID'!$A$1:$D$61, 4, FALSE)), "")</f>
        <v>SYS_CLOCK</v>
      </c>
    </row>
    <row r="558" spans="1:12" x14ac:dyDescent="0.25">
      <c r="G558" s="20" t="s">
        <v>130</v>
      </c>
      <c r="H558" s="34" t="str">
        <f>IFERROR(IF(VLOOKUP($G558, 'Enter DVID'!$A$1:$C$61, 2, FALSE)="", "", VLOOKUP($G558, 'Enter DVID'!$A$1:$C$61, 2, FALSE)), "")</f>
        <v>343</v>
      </c>
      <c r="I558" s="34" t="str">
        <f>IFERROR(IF(VLOOKUP($G558, 'Enter DVID'!$A$1:$C$61, 3, FALSE)="", "", VLOOKUP($G558, 'Enter DVID'!$A$1:$C$61, 3, FALSE)), "")</f>
        <v>U1</v>
      </c>
      <c r="K558" s="34" t="str">
        <f>IFERROR(IF(VLOOKUP($G558, 'Enter DVID'!$A$1:$D$61, 4, FALSE)="", "", VLOOKUP($G558, 'Enter DVID'!$A$1:$D$61, 4, FALSE)), "")</f>
        <v>STS_MATERIALSTATUS</v>
      </c>
    </row>
    <row r="559" spans="1:12" x14ac:dyDescent="0.25">
      <c r="G559" s="20" t="s">
        <v>118</v>
      </c>
      <c r="H559" s="34" t="str">
        <f>IFERROR(IF(VLOOKUP($G559, 'Enter DVID'!$A$1:$C$61, 2, FALSE)="", "", VLOOKUP($G559, 'Enter DVID'!$A$1:$C$61, 2, FALSE)), "")</f>
        <v>348</v>
      </c>
      <c r="I559" s="34" t="str">
        <f>IFERROR(IF(VLOOKUP($G559, 'Enter DVID'!$A$1:$C$61, 3, FALSE)="", "", VLOOKUP($G559, 'Enter DVID'!$A$1:$C$61, 3, FALSE)), "")</f>
        <v>A</v>
      </c>
      <c r="K559" s="34" t="str">
        <f>IFERROR(IF(VLOOKUP($G559, 'Enter DVID'!$A$1:$D$61, 4, FALSE)="", "", VLOOKUP($G559, 'Enter DVID'!$A$1:$D$61, 4, FALSE)), "")</f>
        <v>STS_SUBSTSOURCE</v>
      </c>
    </row>
    <row r="560" spans="1:12" x14ac:dyDescent="0.25">
      <c r="G560" s="20" t="s">
        <v>120</v>
      </c>
      <c r="H560" s="34" t="str">
        <f>IFERROR(IF(VLOOKUP($G560, 'Enter DVID'!$A$1:$C$61, 2, FALSE)="", "", VLOOKUP($G560, 'Enter DVID'!$A$1:$C$61, 2, FALSE)), "")</f>
        <v>349</v>
      </c>
      <c r="I560" s="34" t="str">
        <f>IFERROR(IF(VLOOKUP($G560, 'Enter DVID'!$A$1:$C$61, 3, FALSE)="", "", VLOOKUP($G560, 'Enter DVID'!$A$1:$C$61, 3, FALSE)), "")</f>
        <v>U1</v>
      </c>
      <c r="K560" s="34" t="str">
        <f>IFERROR(IF(VLOOKUP($G560, 'Enter DVID'!$A$1:$D$61, 4, FALSE)="", "", VLOOKUP($G560, 'Enter DVID'!$A$1:$D$61, 4, FALSE)), "")</f>
        <v>STS_SUBSTSTATE</v>
      </c>
    </row>
    <row r="561" spans="1:12" x14ac:dyDescent="0.25">
      <c r="G561" s="20" t="s">
        <v>131</v>
      </c>
      <c r="H561" s="34" t="str">
        <f>IFERROR(IF(VLOOKUP($G561, 'Enter DVID'!$A$1:$C$61, 2, FALSE)="", "", VLOOKUP($G561, 'Enter DVID'!$A$1:$C$61, 2, FALSE)), "")</f>
        <v>350</v>
      </c>
      <c r="I561" s="34" t="str">
        <f>IFERROR(IF(VLOOKUP($G561, 'Enter DVID'!$A$1:$C$61, 3, FALSE)="", "", VLOOKUP($G561, 'Enter DVID'!$A$1:$C$61, 3, FALSE)), "")</f>
        <v>U1</v>
      </c>
      <c r="K561" s="34" t="str">
        <f>IFERROR(IF(VLOOKUP($G561, 'Enter DVID'!$A$1:$D$61, 4, FALSE)="", "", VLOOKUP($G561, 'Enter DVID'!$A$1:$D$61, 4, FALSE)), "")</f>
        <v>STS_SUBSTTYPE</v>
      </c>
    </row>
    <row r="562" spans="1:12" x14ac:dyDescent="0.25">
      <c r="G562" s="20" t="s">
        <v>121</v>
      </c>
      <c r="H562" s="34" t="str">
        <f>IFERROR(IF(VLOOKUP($G562, 'Enter DVID'!$A$1:$C$61, 2, FALSE)="", "", VLOOKUP($G562, 'Enter DVID'!$A$1:$C$61, 2, FALSE)), "")</f>
        <v>351</v>
      </c>
      <c r="I562" s="34" t="str">
        <f>IFERROR(IF(VLOOKUP($G562, 'Enter DVID'!$A$1:$C$61, 3, FALSE)="", "", VLOOKUP($G562, 'Enter DVID'!$A$1:$C$61, 3, FALSE)), "")</f>
        <v>U1</v>
      </c>
      <c r="K562" s="34" t="str">
        <f>IFERROR(IF(VLOOKUP($G562, 'Enter DVID'!$A$1:$D$61, 4, FALSE)="", "", VLOOKUP($G562, 'Enter DVID'!$A$1:$D$61, 4, FALSE)), "")</f>
        <v>STS_SUBSTUSAGE</v>
      </c>
    </row>
    <row r="563" spans="1:12" x14ac:dyDescent="0.25">
      <c r="G563" s="20" t="s">
        <v>269</v>
      </c>
      <c r="H563" s="34" t="str">
        <f>IFERROR(IF(VLOOKUP($G563, 'Enter DVID'!$A$1:$C$61, 2, FALSE)="", "", VLOOKUP($G563, 'Enter DVID'!$A$1:$C$61, 2, FALSE)), "")</f>
        <v>4171</v>
      </c>
      <c r="I563" s="34" t="str">
        <f>IFERROR(IF(VLOOKUP($G563, 'Enter DVID'!$A$1:$C$61, 3, FALSE)="", "", VLOOKUP($G563, 'Enter DVID'!$A$1:$C$61, 3, FALSE)), "")</f>
        <v>List</v>
      </c>
      <c r="K563" s="34" t="str">
        <f>IFERROR(IF(VLOOKUP($G563, 'Enter DVID'!$A$1:$D$61, 4, FALSE)="", "", VLOOKUP($G563, 'Enter DVID'!$A$1:$D$61, 4, FALSE)), "")</f>
        <v>SUBSTSTATE_LIST</v>
      </c>
    </row>
    <row r="564" spans="1:12" x14ac:dyDescent="0.25">
      <c r="G564" s="20" t="s">
        <v>129</v>
      </c>
      <c r="H564" s="34" t="str">
        <f>IFERROR(IF(VLOOKUP($G564, 'Enter DVID'!$A$1:$C$61, 2, FALSE)="", "", VLOOKUP($G564, 'Enter DVID'!$A$1:$C$61, 2, FALSE)), "")</f>
        <v>344</v>
      </c>
      <c r="I564" s="34" t="str">
        <f>IFERROR(IF(VLOOKUP($G564, 'Enter DVID'!$A$1:$C$61, 3, FALSE)="", "", VLOOKUP($G564, 'Enter DVID'!$A$1:$C$61, 3, FALSE)), "")</f>
        <v>A</v>
      </c>
      <c r="K564" s="34" t="str">
        <f>IFERROR(IF(VLOOKUP($G564, 'Enter DVID'!$A$1:$D$61, 4, FALSE)="", "", VLOOKUP($G564, 'Enter DVID'!$A$1:$D$61, 4, FALSE)), "")</f>
        <v>STS_SUBSTDESTINATION</v>
      </c>
    </row>
    <row r="566" spans="1:12" ht="16.5" thickBot="1" x14ac:dyDescent="0.3">
      <c r="A566" s="1" t="s">
        <v>14</v>
      </c>
      <c r="B566" s="1" t="s">
        <v>15</v>
      </c>
      <c r="C566" s="3" t="s">
        <v>16</v>
      </c>
      <c r="D566" s="3" t="s">
        <v>122</v>
      </c>
      <c r="E566" s="3" t="s">
        <v>255</v>
      </c>
      <c r="F566" s="15" t="s">
        <v>126</v>
      </c>
      <c r="G566" s="1" t="s">
        <v>123</v>
      </c>
      <c r="H566" s="35" t="s">
        <v>124</v>
      </c>
      <c r="I566" s="35" t="s">
        <v>125</v>
      </c>
      <c r="J566" s="15" t="s">
        <v>100</v>
      </c>
      <c r="K566" s="43" t="s">
        <v>101</v>
      </c>
      <c r="L566" s="15" t="s">
        <v>102</v>
      </c>
    </row>
    <row r="567" spans="1:12" ht="33" thickTop="1" thickBot="1" x14ac:dyDescent="0.3">
      <c r="A567" s="4">
        <v>57</v>
      </c>
      <c r="B567" s="2" t="s">
        <v>43</v>
      </c>
      <c r="C567" s="5" t="s">
        <v>183</v>
      </c>
      <c r="D567" s="2" t="s">
        <v>184</v>
      </c>
      <c r="E567" s="2" t="s">
        <v>259</v>
      </c>
      <c r="F567" s="62" t="s">
        <v>593</v>
      </c>
      <c r="G567" s="61" t="s">
        <v>234</v>
      </c>
      <c r="H567" s="36" t="str">
        <f>IFERROR(IF(VLOOKUP($G567, 'Enter DVID'!$A$1:$C$61, 2, FALSE)="", "", VLOOKUP($G567, 'Enter DVID'!$A$1:$C$61, 2, FALSE)), "")</f>
        <v>341</v>
      </c>
      <c r="I567" s="63" t="str">
        <f>IFERROR(IF(VLOOKUP($G567, 'Enter DVID'!$A$1:$C$61, 3, FALSE)="", "", VLOOKUP($G567, 'Enter DVID'!$A$1:$C$61, 3, FALSE)), "")</f>
        <v>A</v>
      </c>
      <c r="J567" s="62" t="s">
        <v>598</v>
      </c>
      <c r="K567" s="64" t="str">
        <f>IFERROR(IF(VLOOKUP($G567, 'Enter DVID'!$A$1:$D$61, 4, FALSE)="", "", VLOOKUP($G567, 'Enter DVID'!$A$1:$D$61, 4, FALSE)), "")</f>
        <v>STS_OBJID</v>
      </c>
    </row>
    <row r="568" spans="1:12" ht="16.5" thickTop="1" x14ac:dyDescent="0.25">
      <c r="C568" s="2" t="s">
        <v>185</v>
      </c>
      <c r="G568" s="19" t="s">
        <v>2</v>
      </c>
      <c r="H568" s="36" t="str">
        <f>IFERROR(IF(VLOOKUP($G568, 'Enter DVID'!$A$1:$C$61, 2, FALSE)="", "", VLOOKUP($G568, 'Enter DVID'!$A$1:$C$61, 2, FALSE)), "")</f>
        <v>342</v>
      </c>
      <c r="I568" s="36" t="str">
        <f>IFERROR(IF(VLOOKUP($G568, 'Enter DVID'!$A$1:$C$61, 3, FALSE)="", "", VLOOKUP($G568, 'Enter DVID'!$A$1:$C$61, 3, FALSE)), "")</f>
        <v>A</v>
      </c>
      <c r="K568" s="36" t="str">
        <f>IFERROR(IF(VLOOKUP($G568, 'Enter DVID'!$A$1:$D$61, 4, FALSE)="", "", VLOOKUP($G568, 'Enter DVID'!$A$1:$D$61, 4, FALSE)), "")</f>
        <v>STS_LOTID</v>
      </c>
    </row>
    <row r="569" spans="1:12" x14ac:dyDescent="0.25">
      <c r="G569" s="19" t="s">
        <v>235</v>
      </c>
      <c r="H569" s="36" t="str">
        <f>IFERROR(IF(VLOOKUP($G569, 'Enter DVID'!$A$1:$C$61, 2, FALSE)="", "", VLOOKUP($G569, 'Enter DVID'!$A$1:$C$61, 2, FALSE)), "")</f>
        <v>4170</v>
      </c>
      <c r="I569" s="36" t="str">
        <f>IFERROR(IF(VLOOKUP($G569, 'Enter DVID'!$A$1:$C$61, 3, FALSE)="", "", VLOOKUP($G569, 'Enter DVID'!$A$1:$C$61, 3, FALSE)), "")</f>
        <v>A</v>
      </c>
      <c r="K569" s="36" t="str">
        <f>IFERROR(IF(VLOOKUP($G569, 'Enter DVID'!$A$1:$D$61, 4, FALSE)="", "", VLOOKUP($G569, 'Enter DVID'!$A$1:$D$61, 4, FALSE)), "")</f>
        <v>STS_SLOTID</v>
      </c>
    </row>
    <row r="570" spans="1:12" x14ac:dyDescent="0.25">
      <c r="G570" s="19" t="s">
        <v>236</v>
      </c>
      <c r="H570" s="36" t="str">
        <f>IFERROR(IF(VLOOKUP($G570, 'Enter DVID'!$A$1:$C$61, 2, FALSE)="", "", VLOOKUP($G570, 'Enter DVID'!$A$1:$C$61, 2, FALSE)), "")</f>
        <v>346</v>
      </c>
      <c r="I570" s="36" t="str">
        <f>IFERROR(IF(VLOOKUP($G570, 'Enter DVID'!$A$1:$C$61, 3, FALSE)="", "", VLOOKUP($G570, 'Enter DVID'!$A$1:$C$61, 3, FALSE)), "")</f>
        <v>A</v>
      </c>
      <c r="K570" s="36" t="str">
        <f>IFERROR(IF(VLOOKUP($G570, 'Enter DVID'!$A$1:$D$61, 4, FALSE)="", "", VLOOKUP($G570, 'Enter DVID'!$A$1:$D$61, 4, FALSE)), "")</f>
        <v>STS_SUBSTLOCID</v>
      </c>
    </row>
    <row r="571" spans="1:12" x14ac:dyDescent="0.25">
      <c r="G571" s="19" t="s">
        <v>117</v>
      </c>
      <c r="H571" s="36" t="str">
        <f>IFERROR(IF(VLOOKUP($G571, 'Enter DVID'!$A$1:$C$61, 2, FALSE)="", "", VLOOKUP($G571, 'Enter DVID'!$A$1:$C$61, 2, FALSE)), "")</f>
        <v>347</v>
      </c>
      <c r="I571" s="36" t="str">
        <f>IFERROR(IF(VLOOKUP($G571, 'Enter DVID'!$A$1:$C$61, 3, FALSE)="", "", VLOOKUP($G571, 'Enter DVID'!$A$1:$C$61, 3, FALSE)), "")</f>
        <v>U1</v>
      </c>
      <c r="K571" s="36" t="str">
        <f>IFERROR(IF(VLOOKUP($G571, 'Enter DVID'!$A$1:$D$61, 4, FALSE)="", "", VLOOKUP($G571, 'Enter DVID'!$A$1:$D$61, 4, FALSE)), "")</f>
        <v>STS_SUBSTPROCSTATE</v>
      </c>
    </row>
    <row r="572" spans="1:12" x14ac:dyDescent="0.25">
      <c r="G572" s="19" t="s">
        <v>278</v>
      </c>
      <c r="H572" s="36" t="str">
        <f>IFERROR(IF(VLOOKUP($G572, 'Enter DVID'!$A$1:$C$61, 2, FALSE)="", "", VLOOKUP($G572, 'Enter DVID'!$A$1:$C$61, 2, FALSE)), "")</f>
        <v>4180</v>
      </c>
      <c r="I572" s="36" t="str">
        <f>IFERROR(IF(VLOOKUP($G572, 'Enter DVID'!$A$1:$C$61, 3, FALSE)="", "", VLOOKUP($G572, 'Enter DVID'!$A$1:$C$61, 3, FALSE)), "")</f>
        <v>A</v>
      </c>
      <c r="K572" s="36" t="str">
        <f>IFERROR(IF(VLOOKUP($G572, 'Enter DVID'!$A$1:$D$61, 4, FALSE)="", "", VLOOKUP($G572, 'Enter DVID'!$A$1:$D$61, 4, FALSE)), "")</f>
        <v>ACTIVE_PRJOBID</v>
      </c>
    </row>
    <row r="573" spans="1:12" x14ac:dyDescent="0.25">
      <c r="G573" s="19" t="s">
        <v>272</v>
      </c>
      <c r="H573" s="36" t="str">
        <f>IFERROR(IF(VLOOKUP($G573, 'Enter DVID'!$A$1:$C$61, 2, FALSE)="", "", VLOOKUP($G573, 'Enter DVID'!$A$1:$C$61, 2, FALSE)), "")</f>
        <v>4183</v>
      </c>
      <c r="I573" s="36" t="str">
        <f>IFERROR(IF(VLOOKUP($G573, 'Enter DVID'!$A$1:$C$61, 3, FALSE)="", "", VLOOKUP($G573, 'Enter DVID'!$A$1:$C$61, 3, FALSE)), "")</f>
        <v>A</v>
      </c>
      <c r="K573" s="36" t="str">
        <f>IFERROR(IF(VLOOKUP($G573, 'Enter DVID'!$A$1:$D$61, 4, FALSE)="", "", VLOOKUP($G573, 'Enter DVID'!$A$1:$D$61, 4, FALSE)), "")</f>
        <v>ACTIVE_RECIPEID</v>
      </c>
    </row>
    <row r="574" spans="1:12" x14ac:dyDescent="0.25">
      <c r="G574" s="20" t="s">
        <v>276</v>
      </c>
      <c r="H574" s="34" t="str">
        <f>IFERROR(IF(VLOOKUP($G574, 'Enter DVID'!$A$1:$C$61, 2, FALSE)="", "", VLOOKUP($G574, 'Enter DVID'!$A$1:$C$61, 2, FALSE)), "")</f>
        <v>4181</v>
      </c>
      <c r="I574" s="34" t="str">
        <f>IFERROR(IF(VLOOKUP($G574, 'Enter DVID'!$A$1:$C$61, 3, FALSE)="", "", VLOOKUP($G574, 'Enter DVID'!$A$1:$C$61, 3, FALSE)), "")</f>
        <v>U1</v>
      </c>
      <c r="K574" s="34" t="str">
        <f>IFERROR(IF(VLOOKUP($G574, 'Enter DVID'!$A$1:$D$61, 4, FALSE)="", "", VLOOKUP($G574, 'Enter DVID'!$A$1:$D$61, 4, FALSE)), "")</f>
        <v>ACTIVE_PRJOB_PORTID</v>
      </c>
    </row>
    <row r="575" spans="1:12" x14ac:dyDescent="0.25">
      <c r="G575" s="20" t="s">
        <v>275</v>
      </c>
      <c r="H575" s="34" t="str">
        <f>IFERROR(IF(VLOOKUP($G575, 'Enter DVID'!$A$1:$C$61, 2, FALSE)="", "", VLOOKUP($G575, 'Enter DVID'!$A$1:$C$61, 2, FALSE)), "")</f>
        <v>4182</v>
      </c>
      <c r="I575" s="34" t="str">
        <f>IFERROR(IF(VLOOKUP($G575, 'Enter DVID'!$A$1:$C$61, 3, FALSE)="", "", VLOOKUP($G575, 'Enter DVID'!$A$1:$C$61, 3, FALSE)), "")</f>
        <v>A</v>
      </c>
      <c r="K575" s="34" t="str">
        <f>IFERROR(IF(VLOOKUP($G575, 'Enter DVID'!$A$1:$D$61, 4, FALSE)="", "", VLOOKUP($G575, 'Enter DVID'!$A$1:$D$61, 4, FALSE)), "")</f>
        <v>ACTIVE_PRJOB_CARRIERID</v>
      </c>
    </row>
    <row r="576" spans="1:12" x14ac:dyDescent="0.25">
      <c r="G576" s="20" t="s">
        <v>5</v>
      </c>
      <c r="H576" s="34" t="str">
        <f>IFERROR(IF(VLOOKUP($G576, 'Enter DVID'!$A$1:$C$61, 2, FALSE)="", "", VLOOKUP($G576, 'Enter DVID'!$A$1:$C$61, 2, FALSE)), "")</f>
        <v/>
      </c>
      <c r="I576" s="34" t="str">
        <f>IFERROR(IF(VLOOKUP($G576, 'Enter DVID'!$A$1:$C$61, 3, FALSE)="", "", VLOOKUP($G576, 'Enter DVID'!$A$1:$C$61, 3, FALSE)), "")</f>
        <v/>
      </c>
      <c r="K576" s="34" t="str">
        <f>IFERROR(IF(VLOOKUP($G576, 'Enter DVID'!$A$1:$D$61, 4, FALSE)="", "", VLOOKUP($G576, 'Enter DVID'!$A$1:$D$61, 4, FALSE)), "")</f>
        <v/>
      </c>
    </row>
    <row r="577" spans="1:12" x14ac:dyDescent="0.25">
      <c r="G577" s="20" t="s">
        <v>19</v>
      </c>
      <c r="H577" s="34" t="str">
        <f>IFERROR(IF(VLOOKUP($G577, 'Enter DVID'!$A$1:$C$61, 2, FALSE)="", "", VLOOKUP($G577, 'Enter DVID'!$A$1:$C$61, 2, FALSE)), "")</f>
        <v>3</v>
      </c>
      <c r="I577" s="34" t="str">
        <f>IFERROR(IF(VLOOKUP($G577, 'Enter DVID'!$A$1:$C$61, 3, FALSE)="", "", VLOOKUP($G577, 'Enter DVID'!$A$1:$C$61, 3, FALSE)), "")</f>
        <v>A</v>
      </c>
      <c r="K577" s="34" t="str">
        <f>IFERROR(IF(VLOOKUP($G577, 'Enter DVID'!$A$1:$D$61, 4, FALSE)="", "", VLOOKUP($G577, 'Enter DVID'!$A$1:$D$61, 4, FALSE)), "")</f>
        <v>SYS_CLOCK</v>
      </c>
    </row>
    <row r="578" spans="1:12" x14ac:dyDescent="0.25">
      <c r="G578" s="20" t="s">
        <v>130</v>
      </c>
      <c r="H578" s="34" t="str">
        <f>IFERROR(IF(VLOOKUP($G578, 'Enter DVID'!$A$1:$C$61, 2, FALSE)="", "", VLOOKUP($G578, 'Enter DVID'!$A$1:$C$61, 2, FALSE)), "")</f>
        <v>343</v>
      </c>
      <c r="I578" s="34" t="str">
        <f>IFERROR(IF(VLOOKUP($G578, 'Enter DVID'!$A$1:$C$61, 3, FALSE)="", "", VLOOKUP($G578, 'Enter DVID'!$A$1:$C$61, 3, FALSE)), "")</f>
        <v>U1</v>
      </c>
      <c r="K578" s="34" t="str">
        <f>IFERROR(IF(VLOOKUP($G578, 'Enter DVID'!$A$1:$D$61, 4, FALSE)="", "", VLOOKUP($G578, 'Enter DVID'!$A$1:$D$61, 4, FALSE)), "")</f>
        <v>STS_MATERIALSTATUS</v>
      </c>
    </row>
    <row r="579" spans="1:12" x14ac:dyDescent="0.25">
      <c r="G579" s="20" t="s">
        <v>118</v>
      </c>
      <c r="H579" s="34" t="str">
        <f>IFERROR(IF(VLOOKUP($G579, 'Enter DVID'!$A$1:$C$61, 2, FALSE)="", "", VLOOKUP($G579, 'Enter DVID'!$A$1:$C$61, 2, FALSE)), "")</f>
        <v>348</v>
      </c>
      <c r="I579" s="34" t="str">
        <f>IFERROR(IF(VLOOKUP($G579, 'Enter DVID'!$A$1:$C$61, 3, FALSE)="", "", VLOOKUP($G579, 'Enter DVID'!$A$1:$C$61, 3, FALSE)), "")</f>
        <v>A</v>
      </c>
      <c r="K579" s="34" t="str">
        <f>IFERROR(IF(VLOOKUP($G579, 'Enter DVID'!$A$1:$D$61, 4, FALSE)="", "", VLOOKUP($G579, 'Enter DVID'!$A$1:$D$61, 4, FALSE)), "")</f>
        <v>STS_SUBSTSOURCE</v>
      </c>
    </row>
    <row r="580" spans="1:12" x14ac:dyDescent="0.25">
      <c r="G580" s="20" t="s">
        <v>120</v>
      </c>
      <c r="H580" s="34" t="str">
        <f>IFERROR(IF(VLOOKUP($G580, 'Enter DVID'!$A$1:$C$61, 2, FALSE)="", "", VLOOKUP($G580, 'Enter DVID'!$A$1:$C$61, 2, FALSE)), "")</f>
        <v>349</v>
      </c>
      <c r="I580" s="34" t="str">
        <f>IFERROR(IF(VLOOKUP($G580, 'Enter DVID'!$A$1:$C$61, 3, FALSE)="", "", VLOOKUP($G580, 'Enter DVID'!$A$1:$C$61, 3, FALSE)), "")</f>
        <v>U1</v>
      </c>
      <c r="K580" s="34" t="str">
        <f>IFERROR(IF(VLOOKUP($G580, 'Enter DVID'!$A$1:$D$61, 4, FALSE)="", "", VLOOKUP($G580, 'Enter DVID'!$A$1:$D$61, 4, FALSE)), "")</f>
        <v>STS_SUBSTSTATE</v>
      </c>
    </row>
    <row r="581" spans="1:12" x14ac:dyDescent="0.25">
      <c r="G581" s="20" t="s">
        <v>131</v>
      </c>
      <c r="H581" s="34" t="str">
        <f>IFERROR(IF(VLOOKUP($G581, 'Enter DVID'!$A$1:$C$61, 2, FALSE)="", "", VLOOKUP($G581, 'Enter DVID'!$A$1:$C$61, 2, FALSE)), "")</f>
        <v>350</v>
      </c>
      <c r="I581" s="34" t="str">
        <f>IFERROR(IF(VLOOKUP($G581, 'Enter DVID'!$A$1:$C$61, 3, FALSE)="", "", VLOOKUP($G581, 'Enter DVID'!$A$1:$C$61, 3, FALSE)), "")</f>
        <v>U1</v>
      </c>
      <c r="K581" s="34" t="str">
        <f>IFERROR(IF(VLOOKUP($G581, 'Enter DVID'!$A$1:$D$61, 4, FALSE)="", "", VLOOKUP($G581, 'Enter DVID'!$A$1:$D$61, 4, FALSE)), "")</f>
        <v>STS_SUBSTTYPE</v>
      </c>
    </row>
    <row r="582" spans="1:12" x14ac:dyDescent="0.25">
      <c r="G582" s="20" t="s">
        <v>121</v>
      </c>
      <c r="H582" s="34" t="str">
        <f>IFERROR(IF(VLOOKUP($G582, 'Enter DVID'!$A$1:$C$61, 2, FALSE)="", "", VLOOKUP($G582, 'Enter DVID'!$A$1:$C$61, 2, FALSE)), "")</f>
        <v>351</v>
      </c>
      <c r="I582" s="34" t="str">
        <f>IFERROR(IF(VLOOKUP($G582, 'Enter DVID'!$A$1:$C$61, 3, FALSE)="", "", VLOOKUP($G582, 'Enter DVID'!$A$1:$C$61, 3, FALSE)), "")</f>
        <v>U1</v>
      </c>
      <c r="K582" s="34" t="str">
        <f>IFERROR(IF(VLOOKUP($G582, 'Enter DVID'!$A$1:$D$61, 4, FALSE)="", "", VLOOKUP($G582, 'Enter DVID'!$A$1:$D$61, 4, FALSE)), "")</f>
        <v>STS_SUBSTUSAGE</v>
      </c>
    </row>
    <row r="583" spans="1:12" x14ac:dyDescent="0.25">
      <c r="G583" s="20" t="s">
        <v>269</v>
      </c>
      <c r="H583" s="34" t="str">
        <f>IFERROR(IF(VLOOKUP($G583, 'Enter DVID'!$A$1:$C$61, 2, FALSE)="", "", VLOOKUP($G583, 'Enter DVID'!$A$1:$C$61, 2, FALSE)), "")</f>
        <v>4171</v>
      </c>
      <c r="I583" s="34" t="str">
        <f>IFERROR(IF(VLOOKUP($G583, 'Enter DVID'!$A$1:$C$61, 3, FALSE)="", "", VLOOKUP($G583, 'Enter DVID'!$A$1:$C$61, 3, FALSE)), "")</f>
        <v>List</v>
      </c>
      <c r="K583" s="34" t="str">
        <f>IFERROR(IF(VLOOKUP($G583, 'Enter DVID'!$A$1:$D$61, 4, FALSE)="", "", VLOOKUP($G583, 'Enter DVID'!$A$1:$D$61, 4, FALSE)), "")</f>
        <v>SUBSTSTATE_LIST</v>
      </c>
    </row>
    <row r="584" spans="1:12" x14ac:dyDescent="0.25">
      <c r="G584" s="20" t="s">
        <v>129</v>
      </c>
      <c r="H584" s="34" t="str">
        <f>IFERROR(IF(VLOOKUP($G584, 'Enter DVID'!$A$1:$C$61, 2, FALSE)="", "", VLOOKUP($G584, 'Enter DVID'!$A$1:$C$61, 2, FALSE)), "")</f>
        <v>344</v>
      </c>
      <c r="I584" s="34" t="str">
        <f>IFERROR(IF(VLOOKUP($G584, 'Enter DVID'!$A$1:$C$61, 3, FALSE)="", "", VLOOKUP($G584, 'Enter DVID'!$A$1:$C$61, 3, FALSE)), "")</f>
        <v>A</v>
      </c>
      <c r="K584" s="34" t="str">
        <f>IFERROR(IF(VLOOKUP($G584, 'Enter DVID'!$A$1:$D$61, 4, FALSE)="", "", VLOOKUP($G584, 'Enter DVID'!$A$1:$D$61, 4, FALSE)), "")</f>
        <v>STS_SUBSTDESTINATION</v>
      </c>
    </row>
    <row r="586" spans="1:12" ht="16.5" thickBot="1" x14ac:dyDescent="0.3">
      <c r="A586" s="1" t="s">
        <v>14</v>
      </c>
      <c r="B586" s="1" t="s">
        <v>15</v>
      </c>
      <c r="C586" s="3" t="s">
        <v>16</v>
      </c>
      <c r="D586" s="3" t="s">
        <v>122</v>
      </c>
      <c r="E586" s="3" t="s">
        <v>255</v>
      </c>
      <c r="F586" s="15" t="s">
        <v>126</v>
      </c>
      <c r="G586" s="1" t="s">
        <v>123</v>
      </c>
      <c r="H586" s="35" t="s">
        <v>124</v>
      </c>
      <c r="I586" s="35" t="s">
        <v>125</v>
      </c>
      <c r="J586" s="15" t="s">
        <v>100</v>
      </c>
      <c r="K586" s="43" t="s">
        <v>101</v>
      </c>
      <c r="L586" s="15" t="s">
        <v>102</v>
      </c>
    </row>
    <row r="587" spans="1:12" ht="33" thickTop="1" thickBot="1" x14ac:dyDescent="0.3">
      <c r="A587" s="4">
        <v>58</v>
      </c>
      <c r="B587" s="2" t="s">
        <v>43</v>
      </c>
      <c r="C587" s="5" t="s">
        <v>186</v>
      </c>
      <c r="D587" s="2" t="s">
        <v>188</v>
      </c>
      <c r="E587" s="2" t="s">
        <v>259</v>
      </c>
      <c r="F587" s="62" t="s">
        <v>594</v>
      </c>
      <c r="G587" s="61" t="s">
        <v>234</v>
      </c>
      <c r="H587" s="36" t="str">
        <f>IFERROR(IF(VLOOKUP($G587, 'Enter DVID'!$A$1:$C$61, 2, FALSE)="", "", VLOOKUP($G587, 'Enter DVID'!$A$1:$C$61, 2, FALSE)), "")</f>
        <v>341</v>
      </c>
      <c r="I587" s="63" t="str">
        <f>IFERROR(IF(VLOOKUP($G587, 'Enter DVID'!$A$1:$C$61, 3, FALSE)="", "", VLOOKUP($G587, 'Enter DVID'!$A$1:$C$61, 3, FALSE)), "")</f>
        <v>A</v>
      </c>
      <c r="J587" s="62" t="s">
        <v>599</v>
      </c>
      <c r="K587" s="64" t="str">
        <f>IFERROR(IF(VLOOKUP($G587, 'Enter DVID'!$A$1:$D$61, 4, FALSE)="", "", VLOOKUP($G587, 'Enter DVID'!$A$1:$D$61, 4, FALSE)), "")</f>
        <v>STS_OBJID</v>
      </c>
    </row>
    <row r="588" spans="1:12" ht="16.5" thickTop="1" x14ac:dyDescent="0.25">
      <c r="C588" s="2" t="s">
        <v>187</v>
      </c>
      <c r="G588" s="19" t="s">
        <v>2</v>
      </c>
      <c r="H588" s="36" t="str">
        <f>IFERROR(IF(VLOOKUP($G588, 'Enter DVID'!$A$1:$C$61, 2, FALSE)="", "", VLOOKUP($G588, 'Enter DVID'!$A$1:$C$61, 2, FALSE)), "")</f>
        <v>342</v>
      </c>
      <c r="I588" s="36" t="str">
        <f>IFERROR(IF(VLOOKUP($G588, 'Enter DVID'!$A$1:$C$61, 3, FALSE)="", "", VLOOKUP($G588, 'Enter DVID'!$A$1:$C$61, 3, FALSE)), "")</f>
        <v>A</v>
      </c>
      <c r="K588" s="36" t="str">
        <f>IFERROR(IF(VLOOKUP($G588, 'Enter DVID'!$A$1:$D$61, 4, FALSE)="", "", VLOOKUP($G588, 'Enter DVID'!$A$1:$D$61, 4, FALSE)), "")</f>
        <v>STS_LOTID</v>
      </c>
    </row>
    <row r="589" spans="1:12" x14ac:dyDescent="0.25">
      <c r="G589" s="19" t="s">
        <v>235</v>
      </c>
      <c r="H589" s="36" t="str">
        <f>IFERROR(IF(VLOOKUP($G589, 'Enter DVID'!$A$1:$C$61, 2, FALSE)="", "", VLOOKUP($G589, 'Enter DVID'!$A$1:$C$61, 2, FALSE)), "")</f>
        <v>4170</v>
      </c>
      <c r="I589" s="36" t="str">
        <f>IFERROR(IF(VLOOKUP($G589, 'Enter DVID'!$A$1:$C$61, 3, FALSE)="", "", VLOOKUP($G589, 'Enter DVID'!$A$1:$C$61, 3, FALSE)), "")</f>
        <v>A</v>
      </c>
      <c r="K589" s="36" t="str">
        <f>IFERROR(IF(VLOOKUP($G589, 'Enter DVID'!$A$1:$D$61, 4, FALSE)="", "", VLOOKUP($G589, 'Enter DVID'!$A$1:$D$61, 4, FALSE)), "")</f>
        <v>STS_SLOTID</v>
      </c>
    </row>
    <row r="590" spans="1:12" x14ac:dyDescent="0.25">
      <c r="G590" s="19" t="s">
        <v>236</v>
      </c>
      <c r="H590" s="36" t="str">
        <f>IFERROR(IF(VLOOKUP($G590, 'Enter DVID'!$A$1:$C$61, 2, FALSE)="", "", VLOOKUP($G590, 'Enter DVID'!$A$1:$C$61, 2, FALSE)), "")</f>
        <v>346</v>
      </c>
      <c r="I590" s="36" t="str">
        <f>IFERROR(IF(VLOOKUP($G590, 'Enter DVID'!$A$1:$C$61, 3, FALSE)="", "", VLOOKUP($G590, 'Enter DVID'!$A$1:$C$61, 3, FALSE)), "")</f>
        <v>A</v>
      </c>
      <c r="K590" s="36" t="str">
        <f>IFERROR(IF(VLOOKUP($G590, 'Enter DVID'!$A$1:$D$61, 4, FALSE)="", "", VLOOKUP($G590, 'Enter DVID'!$A$1:$D$61, 4, FALSE)), "")</f>
        <v>STS_SUBSTLOCID</v>
      </c>
    </row>
    <row r="591" spans="1:12" x14ac:dyDescent="0.25">
      <c r="G591" s="19" t="s">
        <v>117</v>
      </c>
      <c r="H591" s="36" t="str">
        <f>IFERROR(IF(VLOOKUP($G591, 'Enter DVID'!$A$1:$C$61, 2, FALSE)="", "", VLOOKUP($G591, 'Enter DVID'!$A$1:$C$61, 2, FALSE)), "")</f>
        <v>347</v>
      </c>
      <c r="I591" s="36" t="str">
        <f>IFERROR(IF(VLOOKUP($G591, 'Enter DVID'!$A$1:$C$61, 3, FALSE)="", "", VLOOKUP($G591, 'Enter DVID'!$A$1:$C$61, 3, FALSE)), "")</f>
        <v>U1</v>
      </c>
      <c r="K591" s="36" t="str">
        <f>IFERROR(IF(VLOOKUP($G591, 'Enter DVID'!$A$1:$D$61, 4, FALSE)="", "", VLOOKUP($G591, 'Enter DVID'!$A$1:$D$61, 4, FALSE)), "")</f>
        <v>STS_SUBSTPROCSTATE</v>
      </c>
    </row>
    <row r="592" spans="1:12" x14ac:dyDescent="0.25">
      <c r="G592" s="19" t="s">
        <v>278</v>
      </c>
      <c r="H592" s="36" t="str">
        <f>IFERROR(IF(VLOOKUP($G592, 'Enter DVID'!$A$1:$C$61, 2, FALSE)="", "", VLOOKUP($G592, 'Enter DVID'!$A$1:$C$61, 2, FALSE)), "")</f>
        <v>4180</v>
      </c>
      <c r="I592" s="36" t="str">
        <f>IFERROR(IF(VLOOKUP($G592, 'Enter DVID'!$A$1:$C$61, 3, FALSE)="", "", VLOOKUP($G592, 'Enter DVID'!$A$1:$C$61, 3, FALSE)), "")</f>
        <v>A</v>
      </c>
      <c r="K592" s="36" t="str">
        <f>IFERROR(IF(VLOOKUP($G592, 'Enter DVID'!$A$1:$D$61, 4, FALSE)="", "", VLOOKUP($G592, 'Enter DVID'!$A$1:$D$61, 4, FALSE)), "")</f>
        <v>ACTIVE_PRJOBID</v>
      </c>
    </row>
    <row r="593" spans="1:12" x14ac:dyDescent="0.25">
      <c r="G593" s="19" t="s">
        <v>272</v>
      </c>
      <c r="H593" s="36" t="str">
        <f>IFERROR(IF(VLOOKUP($G593, 'Enter DVID'!$A$1:$C$61, 2, FALSE)="", "", VLOOKUP($G593, 'Enter DVID'!$A$1:$C$61, 2, FALSE)), "")</f>
        <v>4183</v>
      </c>
      <c r="I593" s="36" t="str">
        <f>IFERROR(IF(VLOOKUP($G593, 'Enter DVID'!$A$1:$C$61, 3, FALSE)="", "", VLOOKUP($G593, 'Enter DVID'!$A$1:$C$61, 3, FALSE)), "")</f>
        <v>A</v>
      </c>
      <c r="K593" s="36" t="str">
        <f>IFERROR(IF(VLOOKUP($G593, 'Enter DVID'!$A$1:$D$61, 4, FALSE)="", "", VLOOKUP($G593, 'Enter DVID'!$A$1:$D$61, 4, FALSE)), "")</f>
        <v>ACTIVE_RECIPEID</v>
      </c>
    </row>
    <row r="594" spans="1:12" x14ac:dyDescent="0.25">
      <c r="G594" s="20" t="s">
        <v>276</v>
      </c>
      <c r="H594" s="34" t="str">
        <f>IFERROR(IF(VLOOKUP($G594, 'Enter DVID'!$A$1:$C$61, 2, FALSE)="", "", VLOOKUP($G594, 'Enter DVID'!$A$1:$C$61, 2, FALSE)), "")</f>
        <v>4181</v>
      </c>
      <c r="I594" s="34" t="str">
        <f>IFERROR(IF(VLOOKUP($G594, 'Enter DVID'!$A$1:$C$61, 3, FALSE)="", "", VLOOKUP($G594, 'Enter DVID'!$A$1:$C$61, 3, FALSE)), "")</f>
        <v>U1</v>
      </c>
      <c r="K594" s="34" t="str">
        <f>IFERROR(IF(VLOOKUP($G594, 'Enter DVID'!$A$1:$D$61, 4, FALSE)="", "", VLOOKUP($G594, 'Enter DVID'!$A$1:$D$61, 4, FALSE)), "")</f>
        <v>ACTIVE_PRJOB_PORTID</v>
      </c>
    </row>
    <row r="595" spans="1:12" x14ac:dyDescent="0.25">
      <c r="G595" s="20" t="s">
        <v>275</v>
      </c>
      <c r="H595" s="34" t="str">
        <f>IFERROR(IF(VLOOKUP($G595, 'Enter DVID'!$A$1:$C$61, 2, FALSE)="", "", VLOOKUP($G595, 'Enter DVID'!$A$1:$C$61, 2, FALSE)), "")</f>
        <v>4182</v>
      </c>
      <c r="I595" s="34" t="str">
        <f>IFERROR(IF(VLOOKUP($G595, 'Enter DVID'!$A$1:$C$61, 3, FALSE)="", "", VLOOKUP($G595, 'Enter DVID'!$A$1:$C$61, 3, FALSE)), "")</f>
        <v>A</v>
      </c>
      <c r="K595" s="34" t="str">
        <f>IFERROR(IF(VLOOKUP($G595, 'Enter DVID'!$A$1:$D$61, 4, FALSE)="", "", VLOOKUP($G595, 'Enter DVID'!$A$1:$D$61, 4, FALSE)), "")</f>
        <v>ACTIVE_PRJOB_CARRIERID</v>
      </c>
    </row>
    <row r="596" spans="1:12" x14ac:dyDescent="0.25">
      <c r="G596" s="20" t="s">
        <v>5</v>
      </c>
      <c r="H596" s="34" t="str">
        <f>IFERROR(IF(VLOOKUP($G596, 'Enter DVID'!$A$1:$C$61, 2, FALSE)="", "", VLOOKUP($G596, 'Enter DVID'!$A$1:$C$61, 2, FALSE)), "")</f>
        <v/>
      </c>
      <c r="I596" s="34" t="str">
        <f>IFERROR(IF(VLOOKUP($G596, 'Enter DVID'!$A$1:$C$61, 3, FALSE)="", "", VLOOKUP($G596, 'Enter DVID'!$A$1:$C$61, 3, FALSE)), "")</f>
        <v/>
      </c>
      <c r="K596" s="34" t="str">
        <f>IFERROR(IF(VLOOKUP($G596, 'Enter DVID'!$A$1:$D$61, 4, FALSE)="", "", VLOOKUP($G596, 'Enter DVID'!$A$1:$D$61, 4, FALSE)), "")</f>
        <v/>
      </c>
    </row>
    <row r="597" spans="1:12" x14ac:dyDescent="0.25">
      <c r="G597" s="20" t="s">
        <v>19</v>
      </c>
      <c r="H597" s="34" t="str">
        <f>IFERROR(IF(VLOOKUP($G597, 'Enter DVID'!$A$1:$C$61, 2, FALSE)="", "", VLOOKUP($G597, 'Enter DVID'!$A$1:$C$61, 2, FALSE)), "")</f>
        <v>3</v>
      </c>
      <c r="I597" s="34" t="str">
        <f>IFERROR(IF(VLOOKUP($G597, 'Enter DVID'!$A$1:$C$61, 3, FALSE)="", "", VLOOKUP($G597, 'Enter DVID'!$A$1:$C$61, 3, FALSE)), "")</f>
        <v>A</v>
      </c>
      <c r="K597" s="34" t="str">
        <f>IFERROR(IF(VLOOKUP($G597, 'Enter DVID'!$A$1:$D$61, 4, FALSE)="", "", VLOOKUP($G597, 'Enter DVID'!$A$1:$D$61, 4, FALSE)), "")</f>
        <v>SYS_CLOCK</v>
      </c>
    </row>
    <row r="598" spans="1:12" x14ac:dyDescent="0.25">
      <c r="G598" s="20" t="s">
        <v>130</v>
      </c>
      <c r="H598" s="34" t="str">
        <f>IFERROR(IF(VLOOKUP($G598, 'Enter DVID'!$A$1:$C$61, 2, FALSE)="", "", VLOOKUP($G598, 'Enter DVID'!$A$1:$C$61, 2, FALSE)), "")</f>
        <v>343</v>
      </c>
      <c r="I598" s="34" t="str">
        <f>IFERROR(IF(VLOOKUP($G598, 'Enter DVID'!$A$1:$C$61, 3, FALSE)="", "", VLOOKUP($G598, 'Enter DVID'!$A$1:$C$61, 3, FALSE)), "")</f>
        <v>U1</v>
      </c>
      <c r="K598" s="34" t="str">
        <f>IFERROR(IF(VLOOKUP($G598, 'Enter DVID'!$A$1:$D$61, 4, FALSE)="", "", VLOOKUP($G598, 'Enter DVID'!$A$1:$D$61, 4, FALSE)), "")</f>
        <v>STS_MATERIALSTATUS</v>
      </c>
    </row>
    <row r="599" spans="1:12" x14ac:dyDescent="0.25">
      <c r="G599" s="20" t="s">
        <v>118</v>
      </c>
      <c r="H599" s="34" t="str">
        <f>IFERROR(IF(VLOOKUP($G599, 'Enter DVID'!$A$1:$C$61, 2, FALSE)="", "", VLOOKUP($G599, 'Enter DVID'!$A$1:$C$61, 2, FALSE)), "")</f>
        <v>348</v>
      </c>
      <c r="I599" s="34" t="str">
        <f>IFERROR(IF(VLOOKUP($G599, 'Enter DVID'!$A$1:$C$61, 3, FALSE)="", "", VLOOKUP($G599, 'Enter DVID'!$A$1:$C$61, 3, FALSE)), "")</f>
        <v>A</v>
      </c>
      <c r="K599" s="34" t="str">
        <f>IFERROR(IF(VLOOKUP($G599, 'Enter DVID'!$A$1:$D$61, 4, FALSE)="", "", VLOOKUP($G599, 'Enter DVID'!$A$1:$D$61, 4, FALSE)), "")</f>
        <v>STS_SUBSTSOURCE</v>
      </c>
    </row>
    <row r="600" spans="1:12" x14ac:dyDescent="0.25">
      <c r="G600" s="20" t="s">
        <v>120</v>
      </c>
      <c r="H600" s="34" t="str">
        <f>IFERROR(IF(VLOOKUP($G600, 'Enter DVID'!$A$1:$C$61, 2, FALSE)="", "", VLOOKUP($G600, 'Enter DVID'!$A$1:$C$61, 2, FALSE)), "")</f>
        <v>349</v>
      </c>
      <c r="I600" s="34" t="str">
        <f>IFERROR(IF(VLOOKUP($G600, 'Enter DVID'!$A$1:$C$61, 3, FALSE)="", "", VLOOKUP($G600, 'Enter DVID'!$A$1:$C$61, 3, FALSE)), "")</f>
        <v>U1</v>
      </c>
      <c r="K600" s="34" t="str">
        <f>IFERROR(IF(VLOOKUP($G600, 'Enter DVID'!$A$1:$D$61, 4, FALSE)="", "", VLOOKUP($G600, 'Enter DVID'!$A$1:$D$61, 4, FALSE)), "")</f>
        <v>STS_SUBSTSTATE</v>
      </c>
    </row>
    <row r="601" spans="1:12" x14ac:dyDescent="0.25">
      <c r="G601" s="20" t="s">
        <v>131</v>
      </c>
      <c r="H601" s="34" t="str">
        <f>IFERROR(IF(VLOOKUP($G601, 'Enter DVID'!$A$1:$C$61, 2, FALSE)="", "", VLOOKUP($G601, 'Enter DVID'!$A$1:$C$61, 2, FALSE)), "")</f>
        <v>350</v>
      </c>
      <c r="I601" s="34" t="str">
        <f>IFERROR(IF(VLOOKUP($G601, 'Enter DVID'!$A$1:$C$61, 3, FALSE)="", "", VLOOKUP($G601, 'Enter DVID'!$A$1:$C$61, 3, FALSE)), "")</f>
        <v>U1</v>
      </c>
      <c r="K601" s="34" t="str">
        <f>IFERROR(IF(VLOOKUP($G601, 'Enter DVID'!$A$1:$D$61, 4, FALSE)="", "", VLOOKUP($G601, 'Enter DVID'!$A$1:$D$61, 4, FALSE)), "")</f>
        <v>STS_SUBSTTYPE</v>
      </c>
    </row>
    <row r="602" spans="1:12" x14ac:dyDescent="0.25">
      <c r="G602" s="20" t="s">
        <v>121</v>
      </c>
      <c r="H602" s="34" t="str">
        <f>IFERROR(IF(VLOOKUP($G602, 'Enter DVID'!$A$1:$C$61, 2, FALSE)="", "", VLOOKUP($G602, 'Enter DVID'!$A$1:$C$61, 2, FALSE)), "")</f>
        <v>351</v>
      </c>
      <c r="I602" s="34" t="str">
        <f>IFERROR(IF(VLOOKUP($G602, 'Enter DVID'!$A$1:$C$61, 3, FALSE)="", "", VLOOKUP($G602, 'Enter DVID'!$A$1:$C$61, 3, FALSE)), "")</f>
        <v>U1</v>
      </c>
      <c r="K602" s="34" t="str">
        <f>IFERROR(IF(VLOOKUP($G602, 'Enter DVID'!$A$1:$D$61, 4, FALSE)="", "", VLOOKUP($G602, 'Enter DVID'!$A$1:$D$61, 4, FALSE)), "")</f>
        <v>STS_SUBSTUSAGE</v>
      </c>
    </row>
    <row r="603" spans="1:12" x14ac:dyDescent="0.25">
      <c r="G603" s="20" t="s">
        <v>269</v>
      </c>
      <c r="H603" s="34" t="str">
        <f>IFERROR(IF(VLOOKUP($G603, 'Enter DVID'!$A$1:$C$61, 2, FALSE)="", "", VLOOKUP($G603, 'Enter DVID'!$A$1:$C$61, 2, FALSE)), "")</f>
        <v>4171</v>
      </c>
      <c r="I603" s="34" t="str">
        <f>IFERROR(IF(VLOOKUP($G603, 'Enter DVID'!$A$1:$C$61, 3, FALSE)="", "", VLOOKUP($G603, 'Enter DVID'!$A$1:$C$61, 3, FALSE)), "")</f>
        <v>List</v>
      </c>
      <c r="K603" s="34" t="str">
        <f>IFERROR(IF(VLOOKUP($G603, 'Enter DVID'!$A$1:$D$61, 4, FALSE)="", "", VLOOKUP($G603, 'Enter DVID'!$A$1:$D$61, 4, FALSE)), "")</f>
        <v>SUBSTSTATE_LIST</v>
      </c>
    </row>
    <row r="604" spans="1:12" x14ac:dyDescent="0.25">
      <c r="G604" s="20" t="s">
        <v>129</v>
      </c>
      <c r="H604" s="34" t="str">
        <f>IFERROR(IF(VLOOKUP($G604, 'Enter DVID'!$A$1:$C$61, 2, FALSE)="", "", VLOOKUP($G604, 'Enter DVID'!$A$1:$C$61, 2, FALSE)), "")</f>
        <v>344</v>
      </c>
      <c r="I604" s="34" t="str">
        <f>IFERROR(IF(VLOOKUP($G604, 'Enter DVID'!$A$1:$C$61, 3, FALSE)="", "", VLOOKUP($G604, 'Enter DVID'!$A$1:$C$61, 3, FALSE)), "")</f>
        <v>A</v>
      </c>
      <c r="K604" s="34" t="str">
        <f>IFERROR(IF(VLOOKUP($G604, 'Enter DVID'!$A$1:$D$61, 4, FALSE)="", "", VLOOKUP($G604, 'Enter DVID'!$A$1:$D$61, 4, FALSE)), "")</f>
        <v>STS_SUBSTDESTINATION</v>
      </c>
    </row>
    <row r="606" spans="1:12" ht="16.5" thickBot="1" x14ac:dyDescent="0.3">
      <c r="A606" s="1" t="s">
        <v>14</v>
      </c>
      <c r="B606" s="1" t="s">
        <v>15</v>
      </c>
      <c r="C606" s="3" t="s">
        <v>16</v>
      </c>
      <c r="D606" s="3" t="s">
        <v>122</v>
      </c>
      <c r="E606" s="3" t="s">
        <v>255</v>
      </c>
      <c r="F606" s="15" t="s">
        <v>126</v>
      </c>
      <c r="G606" s="1" t="s">
        <v>123</v>
      </c>
      <c r="H606" s="35" t="s">
        <v>124</v>
      </c>
      <c r="I606" s="35" t="s">
        <v>125</v>
      </c>
      <c r="J606" s="15" t="s">
        <v>100</v>
      </c>
      <c r="K606" s="43" t="s">
        <v>101</v>
      </c>
      <c r="L606" s="15" t="s">
        <v>102</v>
      </c>
    </row>
    <row r="607" spans="1:12" ht="33" thickTop="1" thickBot="1" x14ac:dyDescent="0.3">
      <c r="A607" s="4">
        <v>59</v>
      </c>
      <c r="B607" s="2" t="s">
        <v>43</v>
      </c>
      <c r="C607" s="5" t="s">
        <v>189</v>
      </c>
      <c r="D607" s="2" t="s">
        <v>191</v>
      </c>
      <c r="E607" s="2" t="s">
        <v>259</v>
      </c>
      <c r="F607" s="62" t="s">
        <v>595</v>
      </c>
      <c r="G607" s="61" t="s">
        <v>234</v>
      </c>
      <c r="H607" s="36" t="str">
        <f>IFERROR(IF(VLOOKUP($G607, 'Enter DVID'!$A$1:$C$61, 2, FALSE)="", "", VLOOKUP($G607, 'Enter DVID'!$A$1:$C$61, 2, FALSE)), "")</f>
        <v>341</v>
      </c>
      <c r="I607" s="63" t="str">
        <f>IFERROR(IF(VLOOKUP($G607, 'Enter DVID'!$A$1:$C$61, 3, FALSE)="", "", VLOOKUP($G607, 'Enter DVID'!$A$1:$C$61, 3, FALSE)), "")</f>
        <v>A</v>
      </c>
      <c r="J607" s="62" t="s">
        <v>600</v>
      </c>
      <c r="K607" s="64" t="str">
        <f>IFERROR(IF(VLOOKUP($G607, 'Enter DVID'!$A$1:$D$61, 4, FALSE)="", "", VLOOKUP($G607, 'Enter DVID'!$A$1:$D$61, 4, FALSE)), "")</f>
        <v>STS_OBJID</v>
      </c>
    </row>
    <row r="608" spans="1:12" ht="16.5" thickTop="1" x14ac:dyDescent="0.25">
      <c r="C608" s="2" t="s">
        <v>190</v>
      </c>
      <c r="G608" s="19" t="s">
        <v>2</v>
      </c>
      <c r="H608" s="36" t="str">
        <f>IFERROR(IF(VLOOKUP($G608, 'Enter DVID'!$A$1:$C$61, 2, FALSE)="", "", VLOOKUP($G608, 'Enter DVID'!$A$1:$C$61, 2, FALSE)), "")</f>
        <v>342</v>
      </c>
      <c r="I608" s="36" t="str">
        <f>IFERROR(IF(VLOOKUP($G608, 'Enter DVID'!$A$1:$C$61, 3, FALSE)="", "", VLOOKUP($G608, 'Enter DVID'!$A$1:$C$61, 3, FALSE)), "")</f>
        <v>A</v>
      </c>
      <c r="K608" s="36" t="str">
        <f>IFERROR(IF(VLOOKUP($G608, 'Enter DVID'!$A$1:$D$61, 4, FALSE)="", "", VLOOKUP($G608, 'Enter DVID'!$A$1:$D$61, 4, FALSE)), "")</f>
        <v>STS_LOTID</v>
      </c>
    </row>
    <row r="609" spans="7:11" x14ac:dyDescent="0.25">
      <c r="G609" s="19" t="s">
        <v>235</v>
      </c>
      <c r="H609" s="36" t="str">
        <f>IFERROR(IF(VLOOKUP($G609, 'Enter DVID'!$A$1:$C$61, 2, FALSE)="", "", VLOOKUP($G609, 'Enter DVID'!$A$1:$C$61, 2, FALSE)), "")</f>
        <v>4170</v>
      </c>
      <c r="I609" s="36" t="str">
        <f>IFERROR(IF(VLOOKUP($G609, 'Enter DVID'!$A$1:$C$61, 3, FALSE)="", "", VLOOKUP($G609, 'Enter DVID'!$A$1:$C$61, 3, FALSE)), "")</f>
        <v>A</v>
      </c>
      <c r="K609" s="36" t="str">
        <f>IFERROR(IF(VLOOKUP($G609, 'Enter DVID'!$A$1:$D$61, 4, FALSE)="", "", VLOOKUP($G609, 'Enter DVID'!$A$1:$D$61, 4, FALSE)), "")</f>
        <v>STS_SLOTID</v>
      </c>
    </row>
    <row r="610" spans="7:11" x14ac:dyDescent="0.25">
      <c r="G610" s="19" t="s">
        <v>236</v>
      </c>
      <c r="H610" s="36" t="str">
        <f>IFERROR(IF(VLOOKUP($G610, 'Enter DVID'!$A$1:$C$61, 2, FALSE)="", "", VLOOKUP($G610, 'Enter DVID'!$A$1:$C$61, 2, FALSE)), "")</f>
        <v>346</v>
      </c>
      <c r="I610" s="36" t="str">
        <f>IFERROR(IF(VLOOKUP($G610, 'Enter DVID'!$A$1:$C$61, 3, FALSE)="", "", VLOOKUP($G610, 'Enter DVID'!$A$1:$C$61, 3, FALSE)), "")</f>
        <v>A</v>
      </c>
      <c r="K610" s="36" t="str">
        <f>IFERROR(IF(VLOOKUP($G610, 'Enter DVID'!$A$1:$D$61, 4, FALSE)="", "", VLOOKUP($G610, 'Enter DVID'!$A$1:$D$61, 4, FALSE)), "")</f>
        <v>STS_SUBSTLOCID</v>
      </c>
    </row>
    <row r="611" spans="7:11" x14ac:dyDescent="0.25">
      <c r="G611" s="19" t="s">
        <v>117</v>
      </c>
      <c r="H611" s="36" t="str">
        <f>IFERROR(IF(VLOOKUP($G611, 'Enter DVID'!$A$1:$C$61, 2, FALSE)="", "", VLOOKUP($G611, 'Enter DVID'!$A$1:$C$61, 2, FALSE)), "")</f>
        <v>347</v>
      </c>
      <c r="I611" s="36" t="str">
        <f>IFERROR(IF(VLOOKUP($G611, 'Enter DVID'!$A$1:$C$61, 3, FALSE)="", "", VLOOKUP($G611, 'Enter DVID'!$A$1:$C$61, 3, FALSE)), "")</f>
        <v>U1</v>
      </c>
      <c r="K611" s="36" t="str">
        <f>IFERROR(IF(VLOOKUP($G611, 'Enter DVID'!$A$1:$D$61, 4, FALSE)="", "", VLOOKUP($G611, 'Enter DVID'!$A$1:$D$61, 4, FALSE)), "")</f>
        <v>STS_SUBSTPROCSTATE</v>
      </c>
    </row>
    <row r="612" spans="7:11" x14ac:dyDescent="0.25">
      <c r="G612" s="19" t="s">
        <v>278</v>
      </c>
      <c r="H612" s="36" t="str">
        <f>IFERROR(IF(VLOOKUP($G612, 'Enter DVID'!$A$1:$C$61, 2, FALSE)="", "", VLOOKUP($G612, 'Enter DVID'!$A$1:$C$61, 2, FALSE)), "")</f>
        <v>4180</v>
      </c>
      <c r="I612" s="36" t="str">
        <f>IFERROR(IF(VLOOKUP($G612, 'Enter DVID'!$A$1:$C$61, 3, FALSE)="", "", VLOOKUP($G612, 'Enter DVID'!$A$1:$C$61, 3, FALSE)), "")</f>
        <v>A</v>
      </c>
      <c r="K612" s="36" t="str">
        <f>IFERROR(IF(VLOOKUP($G612, 'Enter DVID'!$A$1:$D$61, 4, FALSE)="", "", VLOOKUP($G612, 'Enter DVID'!$A$1:$D$61, 4, FALSE)), "")</f>
        <v>ACTIVE_PRJOBID</v>
      </c>
    </row>
    <row r="613" spans="7:11" x14ac:dyDescent="0.25">
      <c r="G613" s="19" t="s">
        <v>272</v>
      </c>
      <c r="H613" s="36" t="str">
        <f>IFERROR(IF(VLOOKUP($G613, 'Enter DVID'!$A$1:$C$61, 2, FALSE)="", "", VLOOKUP($G613, 'Enter DVID'!$A$1:$C$61, 2, FALSE)), "")</f>
        <v>4183</v>
      </c>
      <c r="I613" s="36" t="str">
        <f>IFERROR(IF(VLOOKUP($G613, 'Enter DVID'!$A$1:$C$61, 3, FALSE)="", "", VLOOKUP($G613, 'Enter DVID'!$A$1:$C$61, 3, FALSE)), "")</f>
        <v>A</v>
      </c>
      <c r="K613" s="36" t="str">
        <f>IFERROR(IF(VLOOKUP($G613, 'Enter DVID'!$A$1:$D$61, 4, FALSE)="", "", VLOOKUP($G613, 'Enter DVID'!$A$1:$D$61, 4, FALSE)), "")</f>
        <v>ACTIVE_RECIPEID</v>
      </c>
    </row>
    <row r="614" spans="7:11" x14ac:dyDescent="0.25">
      <c r="G614" s="20" t="s">
        <v>276</v>
      </c>
      <c r="H614" s="34" t="str">
        <f>IFERROR(IF(VLOOKUP($G614, 'Enter DVID'!$A$1:$C$61, 2, FALSE)="", "", VLOOKUP($G614, 'Enter DVID'!$A$1:$C$61, 2, FALSE)), "")</f>
        <v>4181</v>
      </c>
      <c r="I614" s="34" t="str">
        <f>IFERROR(IF(VLOOKUP($G614, 'Enter DVID'!$A$1:$C$61, 3, FALSE)="", "", VLOOKUP($G614, 'Enter DVID'!$A$1:$C$61, 3, FALSE)), "")</f>
        <v>U1</v>
      </c>
      <c r="K614" s="34" t="str">
        <f>IFERROR(IF(VLOOKUP($G614, 'Enter DVID'!$A$1:$D$61, 4, FALSE)="", "", VLOOKUP($G614, 'Enter DVID'!$A$1:$D$61, 4, FALSE)), "")</f>
        <v>ACTIVE_PRJOB_PORTID</v>
      </c>
    </row>
    <row r="615" spans="7:11" x14ac:dyDescent="0.25">
      <c r="G615" s="20" t="s">
        <v>275</v>
      </c>
      <c r="H615" s="34" t="str">
        <f>IFERROR(IF(VLOOKUP($G615, 'Enter DVID'!$A$1:$C$61, 2, FALSE)="", "", VLOOKUP($G615, 'Enter DVID'!$A$1:$C$61, 2, FALSE)), "")</f>
        <v>4182</v>
      </c>
      <c r="I615" s="34" t="str">
        <f>IFERROR(IF(VLOOKUP($G615, 'Enter DVID'!$A$1:$C$61, 3, FALSE)="", "", VLOOKUP($G615, 'Enter DVID'!$A$1:$C$61, 3, FALSE)), "")</f>
        <v>A</v>
      </c>
      <c r="K615" s="34" t="str">
        <f>IFERROR(IF(VLOOKUP($G615, 'Enter DVID'!$A$1:$D$61, 4, FALSE)="", "", VLOOKUP($G615, 'Enter DVID'!$A$1:$D$61, 4, FALSE)), "")</f>
        <v>ACTIVE_PRJOB_CARRIERID</v>
      </c>
    </row>
    <row r="616" spans="7:11" x14ac:dyDescent="0.25">
      <c r="G616" s="20" t="s">
        <v>5</v>
      </c>
      <c r="H616" s="34" t="str">
        <f>IFERROR(IF(VLOOKUP($G616, 'Enter DVID'!$A$1:$C$61, 2, FALSE)="", "", VLOOKUP($G616, 'Enter DVID'!$A$1:$C$61, 2, FALSE)), "")</f>
        <v/>
      </c>
      <c r="I616" s="34" t="str">
        <f>IFERROR(IF(VLOOKUP($G616, 'Enter DVID'!$A$1:$C$61, 3, FALSE)="", "", VLOOKUP($G616, 'Enter DVID'!$A$1:$C$61, 3, FALSE)), "")</f>
        <v/>
      </c>
      <c r="K616" s="34" t="str">
        <f>IFERROR(IF(VLOOKUP($G616, 'Enter DVID'!$A$1:$D$61, 4, FALSE)="", "", VLOOKUP($G616, 'Enter DVID'!$A$1:$D$61, 4, FALSE)), "")</f>
        <v/>
      </c>
    </row>
    <row r="617" spans="7:11" x14ac:dyDescent="0.25">
      <c r="G617" s="20" t="s">
        <v>19</v>
      </c>
      <c r="H617" s="34" t="str">
        <f>IFERROR(IF(VLOOKUP($G617, 'Enter DVID'!$A$1:$C$61, 2, FALSE)="", "", VLOOKUP($G617, 'Enter DVID'!$A$1:$C$61, 2, FALSE)), "")</f>
        <v>3</v>
      </c>
      <c r="I617" s="34" t="str">
        <f>IFERROR(IF(VLOOKUP($G617, 'Enter DVID'!$A$1:$C$61, 3, FALSE)="", "", VLOOKUP($G617, 'Enter DVID'!$A$1:$C$61, 3, FALSE)), "")</f>
        <v>A</v>
      </c>
      <c r="K617" s="34" t="str">
        <f>IFERROR(IF(VLOOKUP($G617, 'Enter DVID'!$A$1:$D$61, 4, FALSE)="", "", VLOOKUP($G617, 'Enter DVID'!$A$1:$D$61, 4, FALSE)), "")</f>
        <v>SYS_CLOCK</v>
      </c>
    </row>
    <row r="618" spans="7:11" x14ac:dyDescent="0.25">
      <c r="G618" s="20" t="s">
        <v>130</v>
      </c>
      <c r="H618" s="34" t="str">
        <f>IFERROR(IF(VLOOKUP($G618, 'Enter DVID'!$A$1:$C$61, 2, FALSE)="", "", VLOOKUP($G618, 'Enter DVID'!$A$1:$C$61, 2, FALSE)), "")</f>
        <v>343</v>
      </c>
      <c r="I618" s="34" t="str">
        <f>IFERROR(IF(VLOOKUP($G618, 'Enter DVID'!$A$1:$C$61, 3, FALSE)="", "", VLOOKUP($G618, 'Enter DVID'!$A$1:$C$61, 3, FALSE)), "")</f>
        <v>U1</v>
      </c>
      <c r="K618" s="34" t="str">
        <f>IFERROR(IF(VLOOKUP($G618, 'Enter DVID'!$A$1:$D$61, 4, FALSE)="", "", VLOOKUP($G618, 'Enter DVID'!$A$1:$D$61, 4, FALSE)), "")</f>
        <v>STS_MATERIALSTATUS</v>
      </c>
    </row>
    <row r="619" spans="7:11" x14ac:dyDescent="0.25">
      <c r="G619" s="20" t="s">
        <v>118</v>
      </c>
      <c r="H619" s="34" t="str">
        <f>IFERROR(IF(VLOOKUP($G619, 'Enter DVID'!$A$1:$C$61, 2, FALSE)="", "", VLOOKUP($G619, 'Enter DVID'!$A$1:$C$61, 2, FALSE)), "")</f>
        <v>348</v>
      </c>
      <c r="I619" s="34" t="str">
        <f>IFERROR(IF(VLOOKUP($G619, 'Enter DVID'!$A$1:$C$61, 3, FALSE)="", "", VLOOKUP($G619, 'Enter DVID'!$A$1:$C$61, 3, FALSE)), "")</f>
        <v>A</v>
      </c>
      <c r="K619" s="34" t="str">
        <f>IFERROR(IF(VLOOKUP($G619, 'Enter DVID'!$A$1:$D$61, 4, FALSE)="", "", VLOOKUP($G619, 'Enter DVID'!$A$1:$D$61, 4, FALSE)), "")</f>
        <v>STS_SUBSTSOURCE</v>
      </c>
    </row>
    <row r="620" spans="7:11" x14ac:dyDescent="0.25">
      <c r="G620" s="20" t="s">
        <v>120</v>
      </c>
      <c r="H620" s="34" t="str">
        <f>IFERROR(IF(VLOOKUP($G620, 'Enter DVID'!$A$1:$C$61, 2, FALSE)="", "", VLOOKUP($G620, 'Enter DVID'!$A$1:$C$61, 2, FALSE)), "")</f>
        <v>349</v>
      </c>
      <c r="I620" s="34" t="str">
        <f>IFERROR(IF(VLOOKUP($G620, 'Enter DVID'!$A$1:$C$61, 3, FALSE)="", "", VLOOKUP($G620, 'Enter DVID'!$A$1:$C$61, 3, FALSE)), "")</f>
        <v>U1</v>
      </c>
      <c r="K620" s="34" t="str">
        <f>IFERROR(IF(VLOOKUP($G620, 'Enter DVID'!$A$1:$D$61, 4, FALSE)="", "", VLOOKUP($G620, 'Enter DVID'!$A$1:$D$61, 4, FALSE)), "")</f>
        <v>STS_SUBSTSTATE</v>
      </c>
    </row>
    <row r="621" spans="7:11" x14ac:dyDescent="0.25">
      <c r="G621" s="20" t="s">
        <v>131</v>
      </c>
      <c r="H621" s="34" t="str">
        <f>IFERROR(IF(VLOOKUP($G621, 'Enter DVID'!$A$1:$C$61, 2, FALSE)="", "", VLOOKUP($G621, 'Enter DVID'!$A$1:$C$61, 2, FALSE)), "")</f>
        <v>350</v>
      </c>
      <c r="I621" s="34" t="str">
        <f>IFERROR(IF(VLOOKUP($G621, 'Enter DVID'!$A$1:$C$61, 3, FALSE)="", "", VLOOKUP($G621, 'Enter DVID'!$A$1:$C$61, 3, FALSE)), "")</f>
        <v>U1</v>
      </c>
      <c r="K621" s="34" t="str">
        <f>IFERROR(IF(VLOOKUP($G621, 'Enter DVID'!$A$1:$D$61, 4, FALSE)="", "", VLOOKUP($G621, 'Enter DVID'!$A$1:$D$61, 4, FALSE)), "")</f>
        <v>STS_SUBSTTYPE</v>
      </c>
    </row>
    <row r="622" spans="7:11" x14ac:dyDescent="0.25">
      <c r="G622" s="20" t="s">
        <v>121</v>
      </c>
      <c r="H622" s="34" t="str">
        <f>IFERROR(IF(VLOOKUP($G622, 'Enter DVID'!$A$1:$C$61, 2, FALSE)="", "", VLOOKUP($G622, 'Enter DVID'!$A$1:$C$61, 2, FALSE)), "")</f>
        <v>351</v>
      </c>
      <c r="I622" s="34" t="str">
        <f>IFERROR(IF(VLOOKUP($G622, 'Enter DVID'!$A$1:$C$61, 3, FALSE)="", "", VLOOKUP($G622, 'Enter DVID'!$A$1:$C$61, 3, FALSE)), "")</f>
        <v>U1</v>
      </c>
      <c r="K622" s="34" t="str">
        <f>IFERROR(IF(VLOOKUP($G622, 'Enter DVID'!$A$1:$D$61, 4, FALSE)="", "", VLOOKUP($G622, 'Enter DVID'!$A$1:$D$61, 4, FALSE)), "")</f>
        <v>STS_SUBSTUSAGE</v>
      </c>
    </row>
    <row r="623" spans="7:11" x14ac:dyDescent="0.25">
      <c r="G623" s="20" t="s">
        <v>269</v>
      </c>
      <c r="H623" s="34" t="str">
        <f>IFERROR(IF(VLOOKUP($G623, 'Enter DVID'!$A$1:$C$61, 2, FALSE)="", "", VLOOKUP($G623, 'Enter DVID'!$A$1:$C$61, 2, FALSE)), "")</f>
        <v>4171</v>
      </c>
      <c r="I623" s="34" t="str">
        <f>IFERROR(IF(VLOOKUP($G623, 'Enter DVID'!$A$1:$C$61, 3, FALSE)="", "", VLOOKUP($G623, 'Enter DVID'!$A$1:$C$61, 3, FALSE)), "")</f>
        <v>List</v>
      </c>
      <c r="K623" s="34" t="str">
        <f>IFERROR(IF(VLOOKUP($G623, 'Enter DVID'!$A$1:$D$61, 4, FALSE)="", "", VLOOKUP($G623, 'Enter DVID'!$A$1:$D$61, 4, FALSE)), "")</f>
        <v>SUBSTSTATE_LIST</v>
      </c>
    </row>
    <row r="624" spans="7:11" x14ac:dyDescent="0.25">
      <c r="G624" s="20" t="s">
        <v>129</v>
      </c>
      <c r="H624" s="34" t="str">
        <f>IFERROR(IF(VLOOKUP($G624, 'Enter DVID'!$A$1:$C$61, 2, FALSE)="", "", VLOOKUP($G624, 'Enter DVID'!$A$1:$C$61, 2, FALSE)), "")</f>
        <v>344</v>
      </c>
      <c r="I624" s="34" t="str">
        <f>IFERROR(IF(VLOOKUP($G624, 'Enter DVID'!$A$1:$C$61, 3, FALSE)="", "", VLOOKUP($G624, 'Enter DVID'!$A$1:$C$61, 3, FALSE)), "")</f>
        <v>A</v>
      </c>
      <c r="K624" s="34" t="str">
        <f>IFERROR(IF(VLOOKUP($G624, 'Enter DVID'!$A$1:$D$61, 4, FALSE)="", "", VLOOKUP($G624, 'Enter DVID'!$A$1:$D$61, 4, FALSE)), "")</f>
        <v>STS_SUBSTDESTINATION</v>
      </c>
    </row>
    <row r="626" spans="1:12" ht="16.5" thickBot="1" x14ac:dyDescent="0.3">
      <c r="A626" s="1" t="s">
        <v>14</v>
      </c>
      <c r="B626" s="1" t="s">
        <v>15</v>
      </c>
      <c r="C626" s="3" t="s">
        <v>16</v>
      </c>
      <c r="D626" s="3" t="s">
        <v>122</v>
      </c>
      <c r="E626" s="3" t="s">
        <v>255</v>
      </c>
      <c r="F626" s="15" t="s">
        <v>126</v>
      </c>
      <c r="G626" s="1" t="s">
        <v>123</v>
      </c>
      <c r="H626" s="35" t="s">
        <v>124</v>
      </c>
      <c r="I626" s="35" t="s">
        <v>125</v>
      </c>
      <c r="J626" s="15" t="s">
        <v>100</v>
      </c>
      <c r="K626" s="43" t="s">
        <v>101</v>
      </c>
      <c r="L626" s="15" t="s">
        <v>102</v>
      </c>
    </row>
    <row r="627" spans="1:12" ht="17.25" thickTop="1" thickBot="1" x14ac:dyDescent="0.3">
      <c r="A627" s="4">
        <v>60</v>
      </c>
      <c r="B627" s="2" t="s">
        <v>43</v>
      </c>
      <c r="C627" s="5" t="s">
        <v>192</v>
      </c>
      <c r="D627" s="2" t="s">
        <v>194</v>
      </c>
      <c r="E627" s="2" t="s">
        <v>259</v>
      </c>
      <c r="F627" s="62" t="s">
        <v>596</v>
      </c>
      <c r="G627" s="61" t="s">
        <v>234</v>
      </c>
      <c r="H627" s="36" t="str">
        <f>IFERROR(IF(VLOOKUP($G627, 'Enter DVID'!$A$1:$C$61, 2, FALSE)="", "", VLOOKUP($G627, 'Enter DVID'!$A$1:$C$61, 2, FALSE)), "")</f>
        <v>341</v>
      </c>
      <c r="I627" s="63" t="str">
        <f>IFERROR(IF(VLOOKUP($G627, 'Enter DVID'!$A$1:$C$61, 3, FALSE)="", "", VLOOKUP($G627, 'Enter DVID'!$A$1:$C$61, 3, FALSE)), "")</f>
        <v>A</v>
      </c>
      <c r="J627" s="62" t="s">
        <v>601</v>
      </c>
      <c r="K627" s="64" t="str">
        <f>IFERROR(IF(VLOOKUP($G627, 'Enter DVID'!$A$1:$D$61, 4, FALSE)="", "", VLOOKUP($G627, 'Enter DVID'!$A$1:$D$61, 4, FALSE)), "")</f>
        <v>STS_OBJID</v>
      </c>
    </row>
    <row r="628" spans="1:12" ht="16.5" thickTop="1" x14ac:dyDescent="0.25">
      <c r="C628" s="2" t="s">
        <v>193</v>
      </c>
      <c r="G628" s="19" t="s">
        <v>2</v>
      </c>
      <c r="H628" s="36" t="str">
        <f>IFERROR(IF(VLOOKUP($G628, 'Enter DVID'!$A$1:$C$61, 2, FALSE)="", "", VLOOKUP($G628, 'Enter DVID'!$A$1:$C$61, 2, FALSE)), "")</f>
        <v>342</v>
      </c>
      <c r="I628" s="36" t="str">
        <f>IFERROR(IF(VLOOKUP($G628, 'Enter DVID'!$A$1:$C$61, 3, FALSE)="", "", VLOOKUP($G628, 'Enter DVID'!$A$1:$C$61, 3, FALSE)), "")</f>
        <v>A</v>
      </c>
      <c r="K628" s="36" t="str">
        <f>IFERROR(IF(VLOOKUP($G628, 'Enter DVID'!$A$1:$D$61, 4, FALSE)="", "", VLOOKUP($G628, 'Enter DVID'!$A$1:$D$61, 4, FALSE)), "")</f>
        <v>STS_LOTID</v>
      </c>
    </row>
    <row r="629" spans="1:12" x14ac:dyDescent="0.25">
      <c r="G629" s="19" t="s">
        <v>235</v>
      </c>
      <c r="H629" s="36" t="str">
        <f>IFERROR(IF(VLOOKUP($G629, 'Enter DVID'!$A$1:$C$61, 2, FALSE)="", "", VLOOKUP($G629, 'Enter DVID'!$A$1:$C$61, 2, FALSE)), "")</f>
        <v>4170</v>
      </c>
      <c r="I629" s="36" t="str">
        <f>IFERROR(IF(VLOOKUP($G629, 'Enter DVID'!$A$1:$C$61, 3, FALSE)="", "", VLOOKUP($G629, 'Enter DVID'!$A$1:$C$61, 3, FALSE)), "")</f>
        <v>A</v>
      </c>
      <c r="K629" s="36" t="str">
        <f>IFERROR(IF(VLOOKUP($G629, 'Enter DVID'!$A$1:$D$61, 4, FALSE)="", "", VLOOKUP($G629, 'Enter DVID'!$A$1:$D$61, 4, FALSE)), "")</f>
        <v>STS_SLOTID</v>
      </c>
    </row>
    <row r="630" spans="1:12" x14ac:dyDescent="0.25">
      <c r="G630" s="19" t="s">
        <v>236</v>
      </c>
      <c r="H630" s="36" t="str">
        <f>IFERROR(IF(VLOOKUP($G630, 'Enter DVID'!$A$1:$C$61, 2, FALSE)="", "", VLOOKUP($G630, 'Enter DVID'!$A$1:$C$61, 2, FALSE)), "")</f>
        <v>346</v>
      </c>
      <c r="I630" s="36" t="str">
        <f>IFERROR(IF(VLOOKUP($G630, 'Enter DVID'!$A$1:$C$61, 3, FALSE)="", "", VLOOKUP($G630, 'Enter DVID'!$A$1:$C$61, 3, FALSE)), "")</f>
        <v>A</v>
      </c>
      <c r="K630" s="36" t="str">
        <f>IFERROR(IF(VLOOKUP($G630, 'Enter DVID'!$A$1:$D$61, 4, FALSE)="", "", VLOOKUP($G630, 'Enter DVID'!$A$1:$D$61, 4, FALSE)), "")</f>
        <v>STS_SUBSTLOCID</v>
      </c>
    </row>
    <row r="631" spans="1:12" x14ac:dyDescent="0.25">
      <c r="G631" s="19" t="s">
        <v>117</v>
      </c>
      <c r="H631" s="36" t="str">
        <f>IFERROR(IF(VLOOKUP($G631, 'Enter DVID'!$A$1:$C$61, 2, FALSE)="", "", VLOOKUP($G631, 'Enter DVID'!$A$1:$C$61, 2, FALSE)), "")</f>
        <v>347</v>
      </c>
      <c r="I631" s="36" t="str">
        <f>IFERROR(IF(VLOOKUP($G631, 'Enter DVID'!$A$1:$C$61, 3, FALSE)="", "", VLOOKUP($G631, 'Enter DVID'!$A$1:$C$61, 3, FALSE)), "")</f>
        <v>U1</v>
      </c>
      <c r="K631" s="36" t="str">
        <f>IFERROR(IF(VLOOKUP($G631, 'Enter DVID'!$A$1:$D$61, 4, FALSE)="", "", VLOOKUP($G631, 'Enter DVID'!$A$1:$D$61, 4, FALSE)), "")</f>
        <v>STS_SUBSTPROCSTATE</v>
      </c>
    </row>
    <row r="632" spans="1:12" x14ac:dyDescent="0.25">
      <c r="G632" s="19" t="s">
        <v>278</v>
      </c>
      <c r="H632" s="36" t="str">
        <f>IFERROR(IF(VLOOKUP($G632, 'Enter DVID'!$A$1:$C$61, 2, FALSE)="", "", VLOOKUP($G632, 'Enter DVID'!$A$1:$C$61, 2, FALSE)), "")</f>
        <v>4180</v>
      </c>
      <c r="I632" s="36" t="str">
        <f>IFERROR(IF(VLOOKUP($G632, 'Enter DVID'!$A$1:$C$61, 3, FALSE)="", "", VLOOKUP($G632, 'Enter DVID'!$A$1:$C$61, 3, FALSE)), "")</f>
        <v>A</v>
      </c>
      <c r="K632" s="36" t="str">
        <f>IFERROR(IF(VLOOKUP($G632, 'Enter DVID'!$A$1:$D$61, 4, FALSE)="", "", VLOOKUP($G632, 'Enter DVID'!$A$1:$D$61, 4, FALSE)), "")</f>
        <v>ACTIVE_PRJOBID</v>
      </c>
    </row>
    <row r="633" spans="1:12" x14ac:dyDescent="0.25">
      <c r="G633" s="19" t="s">
        <v>272</v>
      </c>
      <c r="H633" s="36" t="str">
        <f>IFERROR(IF(VLOOKUP($G633, 'Enter DVID'!$A$1:$C$61, 2, FALSE)="", "", VLOOKUP($G633, 'Enter DVID'!$A$1:$C$61, 2, FALSE)), "")</f>
        <v>4183</v>
      </c>
      <c r="I633" s="36" t="str">
        <f>IFERROR(IF(VLOOKUP($G633, 'Enter DVID'!$A$1:$C$61, 3, FALSE)="", "", VLOOKUP($G633, 'Enter DVID'!$A$1:$C$61, 3, FALSE)), "")</f>
        <v>A</v>
      </c>
      <c r="K633" s="36" t="str">
        <f>IFERROR(IF(VLOOKUP($G633, 'Enter DVID'!$A$1:$D$61, 4, FALSE)="", "", VLOOKUP($G633, 'Enter DVID'!$A$1:$D$61, 4, FALSE)), "")</f>
        <v>ACTIVE_RECIPEID</v>
      </c>
    </row>
    <row r="634" spans="1:12" x14ac:dyDescent="0.25">
      <c r="G634" s="20" t="s">
        <v>276</v>
      </c>
      <c r="H634" s="34" t="str">
        <f>IFERROR(IF(VLOOKUP($G634, 'Enter DVID'!$A$1:$C$61, 2, FALSE)="", "", VLOOKUP($G634, 'Enter DVID'!$A$1:$C$61, 2, FALSE)), "")</f>
        <v>4181</v>
      </c>
      <c r="I634" s="34" t="str">
        <f>IFERROR(IF(VLOOKUP($G634, 'Enter DVID'!$A$1:$C$61, 3, FALSE)="", "", VLOOKUP($G634, 'Enter DVID'!$A$1:$C$61, 3, FALSE)), "")</f>
        <v>U1</v>
      </c>
      <c r="K634" s="34" t="str">
        <f>IFERROR(IF(VLOOKUP($G634, 'Enter DVID'!$A$1:$D$61, 4, FALSE)="", "", VLOOKUP($G634, 'Enter DVID'!$A$1:$D$61, 4, FALSE)), "")</f>
        <v>ACTIVE_PRJOB_PORTID</v>
      </c>
    </row>
    <row r="635" spans="1:12" x14ac:dyDescent="0.25">
      <c r="G635" s="20" t="s">
        <v>275</v>
      </c>
      <c r="H635" s="34" t="str">
        <f>IFERROR(IF(VLOOKUP($G635, 'Enter DVID'!$A$1:$C$61, 2, FALSE)="", "", VLOOKUP($G635, 'Enter DVID'!$A$1:$C$61, 2, FALSE)), "")</f>
        <v>4182</v>
      </c>
      <c r="I635" s="34" t="str">
        <f>IFERROR(IF(VLOOKUP($G635, 'Enter DVID'!$A$1:$C$61, 3, FALSE)="", "", VLOOKUP($G635, 'Enter DVID'!$A$1:$C$61, 3, FALSE)), "")</f>
        <v>A</v>
      </c>
      <c r="K635" s="34" t="str">
        <f>IFERROR(IF(VLOOKUP($G635, 'Enter DVID'!$A$1:$D$61, 4, FALSE)="", "", VLOOKUP($G635, 'Enter DVID'!$A$1:$D$61, 4, FALSE)), "")</f>
        <v>ACTIVE_PRJOB_CARRIERID</v>
      </c>
    </row>
    <row r="636" spans="1:12" x14ac:dyDescent="0.25">
      <c r="G636" s="20" t="s">
        <v>5</v>
      </c>
      <c r="H636" s="34" t="str">
        <f>IFERROR(IF(VLOOKUP($G636, 'Enter DVID'!$A$1:$C$61, 2, FALSE)="", "", VLOOKUP($G636, 'Enter DVID'!$A$1:$C$61, 2, FALSE)), "")</f>
        <v/>
      </c>
      <c r="I636" s="34" t="str">
        <f>IFERROR(IF(VLOOKUP($G636, 'Enter DVID'!$A$1:$C$61, 3, FALSE)="", "", VLOOKUP($G636, 'Enter DVID'!$A$1:$C$61, 3, FALSE)), "")</f>
        <v/>
      </c>
      <c r="K636" s="34" t="str">
        <f>IFERROR(IF(VLOOKUP($G636, 'Enter DVID'!$A$1:$D$61, 4, FALSE)="", "", VLOOKUP($G636, 'Enter DVID'!$A$1:$D$61, 4, FALSE)), "")</f>
        <v/>
      </c>
    </row>
    <row r="637" spans="1:12" x14ac:dyDescent="0.25">
      <c r="G637" s="20" t="s">
        <v>19</v>
      </c>
      <c r="H637" s="34" t="str">
        <f>IFERROR(IF(VLOOKUP($G637, 'Enter DVID'!$A$1:$C$61, 2, FALSE)="", "", VLOOKUP($G637, 'Enter DVID'!$A$1:$C$61, 2, FALSE)), "")</f>
        <v>3</v>
      </c>
      <c r="I637" s="34" t="str">
        <f>IFERROR(IF(VLOOKUP($G637, 'Enter DVID'!$A$1:$C$61, 3, FALSE)="", "", VLOOKUP($G637, 'Enter DVID'!$A$1:$C$61, 3, FALSE)), "")</f>
        <v>A</v>
      </c>
      <c r="K637" s="34" t="str">
        <f>IFERROR(IF(VLOOKUP($G637, 'Enter DVID'!$A$1:$D$61, 4, FALSE)="", "", VLOOKUP($G637, 'Enter DVID'!$A$1:$D$61, 4, FALSE)), "")</f>
        <v>SYS_CLOCK</v>
      </c>
    </row>
    <row r="638" spans="1:12" x14ac:dyDescent="0.25">
      <c r="G638" s="20" t="s">
        <v>130</v>
      </c>
      <c r="H638" s="34" t="str">
        <f>IFERROR(IF(VLOOKUP($G638, 'Enter DVID'!$A$1:$C$61, 2, FALSE)="", "", VLOOKUP($G638, 'Enter DVID'!$A$1:$C$61, 2, FALSE)), "")</f>
        <v>343</v>
      </c>
      <c r="I638" s="34" t="str">
        <f>IFERROR(IF(VLOOKUP($G638, 'Enter DVID'!$A$1:$C$61, 3, FALSE)="", "", VLOOKUP($G638, 'Enter DVID'!$A$1:$C$61, 3, FALSE)), "")</f>
        <v>U1</v>
      </c>
      <c r="K638" s="34" t="str">
        <f>IFERROR(IF(VLOOKUP($G638, 'Enter DVID'!$A$1:$D$61, 4, FALSE)="", "", VLOOKUP($G638, 'Enter DVID'!$A$1:$D$61, 4, FALSE)), "")</f>
        <v>STS_MATERIALSTATUS</v>
      </c>
    </row>
    <row r="639" spans="1:12" x14ac:dyDescent="0.25">
      <c r="G639" s="20" t="s">
        <v>118</v>
      </c>
      <c r="H639" s="34" t="str">
        <f>IFERROR(IF(VLOOKUP($G639, 'Enter DVID'!$A$1:$C$61, 2, FALSE)="", "", VLOOKUP($G639, 'Enter DVID'!$A$1:$C$61, 2, FALSE)), "")</f>
        <v>348</v>
      </c>
      <c r="I639" s="34" t="str">
        <f>IFERROR(IF(VLOOKUP($G639, 'Enter DVID'!$A$1:$C$61, 3, FALSE)="", "", VLOOKUP($G639, 'Enter DVID'!$A$1:$C$61, 3, FALSE)), "")</f>
        <v>A</v>
      </c>
      <c r="K639" s="34" t="str">
        <f>IFERROR(IF(VLOOKUP($G639, 'Enter DVID'!$A$1:$D$61, 4, FALSE)="", "", VLOOKUP($G639, 'Enter DVID'!$A$1:$D$61, 4, FALSE)), "")</f>
        <v>STS_SUBSTSOURCE</v>
      </c>
    </row>
    <row r="640" spans="1:12" x14ac:dyDescent="0.25">
      <c r="G640" s="20" t="s">
        <v>120</v>
      </c>
      <c r="H640" s="34" t="str">
        <f>IFERROR(IF(VLOOKUP($G640, 'Enter DVID'!$A$1:$C$61, 2, FALSE)="", "", VLOOKUP($G640, 'Enter DVID'!$A$1:$C$61, 2, FALSE)), "")</f>
        <v>349</v>
      </c>
      <c r="I640" s="34" t="str">
        <f>IFERROR(IF(VLOOKUP($G640, 'Enter DVID'!$A$1:$C$61, 3, FALSE)="", "", VLOOKUP($G640, 'Enter DVID'!$A$1:$C$61, 3, FALSE)), "")</f>
        <v>U1</v>
      </c>
      <c r="K640" s="34" t="str">
        <f>IFERROR(IF(VLOOKUP($G640, 'Enter DVID'!$A$1:$D$61, 4, FALSE)="", "", VLOOKUP($G640, 'Enter DVID'!$A$1:$D$61, 4, FALSE)), "")</f>
        <v>STS_SUBSTSTATE</v>
      </c>
    </row>
    <row r="641" spans="1:12" x14ac:dyDescent="0.25">
      <c r="G641" s="20" t="s">
        <v>131</v>
      </c>
      <c r="H641" s="34" t="str">
        <f>IFERROR(IF(VLOOKUP($G641, 'Enter DVID'!$A$1:$C$61, 2, FALSE)="", "", VLOOKUP($G641, 'Enter DVID'!$A$1:$C$61, 2, FALSE)), "")</f>
        <v>350</v>
      </c>
      <c r="I641" s="34" t="str">
        <f>IFERROR(IF(VLOOKUP($G641, 'Enter DVID'!$A$1:$C$61, 3, FALSE)="", "", VLOOKUP($G641, 'Enter DVID'!$A$1:$C$61, 3, FALSE)), "")</f>
        <v>U1</v>
      </c>
      <c r="K641" s="34" t="str">
        <f>IFERROR(IF(VLOOKUP($G641, 'Enter DVID'!$A$1:$D$61, 4, FALSE)="", "", VLOOKUP($G641, 'Enter DVID'!$A$1:$D$61, 4, FALSE)), "")</f>
        <v>STS_SUBSTTYPE</v>
      </c>
    </row>
    <row r="642" spans="1:12" x14ac:dyDescent="0.25">
      <c r="G642" s="20" t="s">
        <v>121</v>
      </c>
      <c r="H642" s="34" t="str">
        <f>IFERROR(IF(VLOOKUP($G642, 'Enter DVID'!$A$1:$C$61, 2, FALSE)="", "", VLOOKUP($G642, 'Enter DVID'!$A$1:$C$61, 2, FALSE)), "")</f>
        <v>351</v>
      </c>
      <c r="I642" s="34" t="str">
        <f>IFERROR(IF(VLOOKUP($G642, 'Enter DVID'!$A$1:$C$61, 3, FALSE)="", "", VLOOKUP($G642, 'Enter DVID'!$A$1:$C$61, 3, FALSE)), "")</f>
        <v>U1</v>
      </c>
      <c r="K642" s="34" t="str">
        <f>IFERROR(IF(VLOOKUP($G642, 'Enter DVID'!$A$1:$D$61, 4, FALSE)="", "", VLOOKUP($G642, 'Enter DVID'!$A$1:$D$61, 4, FALSE)), "")</f>
        <v>STS_SUBSTUSAGE</v>
      </c>
    </row>
    <row r="643" spans="1:12" x14ac:dyDescent="0.25">
      <c r="G643" s="20" t="s">
        <v>269</v>
      </c>
      <c r="H643" s="34" t="str">
        <f>IFERROR(IF(VLOOKUP($G643, 'Enter DVID'!$A$1:$C$61, 2, FALSE)="", "", VLOOKUP($G643, 'Enter DVID'!$A$1:$C$61, 2, FALSE)), "")</f>
        <v>4171</v>
      </c>
      <c r="I643" s="34" t="str">
        <f>IFERROR(IF(VLOOKUP($G643, 'Enter DVID'!$A$1:$C$61, 3, FALSE)="", "", VLOOKUP($G643, 'Enter DVID'!$A$1:$C$61, 3, FALSE)), "")</f>
        <v>List</v>
      </c>
      <c r="K643" s="34" t="str">
        <f>IFERROR(IF(VLOOKUP($G643, 'Enter DVID'!$A$1:$D$61, 4, FALSE)="", "", VLOOKUP($G643, 'Enter DVID'!$A$1:$D$61, 4, FALSE)), "")</f>
        <v>SUBSTSTATE_LIST</v>
      </c>
    </row>
    <row r="644" spans="1:12" x14ac:dyDescent="0.25">
      <c r="G644" s="20" t="s">
        <v>129</v>
      </c>
      <c r="H644" s="34" t="str">
        <f>IFERROR(IF(VLOOKUP($G644, 'Enter DVID'!$A$1:$C$61, 2, FALSE)="", "", VLOOKUP($G644, 'Enter DVID'!$A$1:$C$61, 2, FALSE)), "")</f>
        <v>344</v>
      </c>
      <c r="I644" s="34" t="str">
        <f>IFERROR(IF(VLOOKUP($G644, 'Enter DVID'!$A$1:$C$61, 3, FALSE)="", "", VLOOKUP($G644, 'Enter DVID'!$A$1:$C$61, 3, FALSE)), "")</f>
        <v>A</v>
      </c>
      <c r="K644" s="34" t="str">
        <f>IFERROR(IF(VLOOKUP($G644, 'Enter DVID'!$A$1:$D$61, 4, FALSE)="", "", VLOOKUP($G644, 'Enter DVID'!$A$1:$D$61, 4, FALSE)), "")</f>
        <v>STS_SUBSTDESTINATION</v>
      </c>
    </row>
    <row r="646" spans="1:12" ht="16.5" thickBot="1" x14ac:dyDescent="0.3">
      <c r="A646" s="1" t="s">
        <v>14</v>
      </c>
      <c r="B646" s="1" t="s">
        <v>15</v>
      </c>
      <c r="C646" s="3" t="s">
        <v>16</v>
      </c>
      <c r="D646" s="3" t="s">
        <v>122</v>
      </c>
      <c r="E646" s="3" t="s">
        <v>255</v>
      </c>
      <c r="F646" s="15" t="s">
        <v>126</v>
      </c>
      <c r="G646" s="1" t="s">
        <v>123</v>
      </c>
      <c r="H646" s="35" t="s">
        <v>124</v>
      </c>
      <c r="I646" s="35" t="s">
        <v>125</v>
      </c>
      <c r="J646" s="15" t="s">
        <v>100</v>
      </c>
      <c r="K646" s="43" t="s">
        <v>101</v>
      </c>
      <c r="L646" s="15" t="s">
        <v>102</v>
      </c>
    </row>
    <row r="647" spans="1:12" ht="33" thickTop="1" thickBot="1" x14ac:dyDescent="0.3">
      <c r="A647" s="4">
        <v>61</v>
      </c>
      <c r="B647" s="2" t="s">
        <v>43</v>
      </c>
      <c r="C647" s="5" t="s">
        <v>195</v>
      </c>
      <c r="D647" s="2" t="s">
        <v>197</v>
      </c>
      <c r="E647" s="2" t="s">
        <v>259</v>
      </c>
      <c r="F647" s="62" t="s">
        <v>597</v>
      </c>
      <c r="G647" s="61" t="s">
        <v>234</v>
      </c>
      <c r="H647" s="36" t="str">
        <f>IFERROR(IF(VLOOKUP($G647, 'Enter DVID'!$A$1:$C$61, 2, FALSE)="", "", VLOOKUP($G647, 'Enter DVID'!$A$1:$C$61, 2, FALSE)), "")</f>
        <v>341</v>
      </c>
      <c r="I647" s="63" t="str">
        <f>IFERROR(IF(VLOOKUP($G647, 'Enter DVID'!$A$1:$C$61, 3, FALSE)="", "", VLOOKUP($G647, 'Enter DVID'!$A$1:$C$61, 3, FALSE)), "")</f>
        <v>A</v>
      </c>
      <c r="J647" s="62" t="s">
        <v>602</v>
      </c>
      <c r="K647" s="64" t="str">
        <f>IFERROR(IF(VLOOKUP($G647, 'Enter DVID'!$A$1:$D$61, 4, FALSE)="", "", VLOOKUP($G647, 'Enter DVID'!$A$1:$D$61, 4, FALSE)), "")</f>
        <v>STS_OBJID</v>
      </c>
    </row>
    <row r="648" spans="1:12" ht="16.5" thickTop="1" x14ac:dyDescent="0.25">
      <c r="C648" s="2" t="s">
        <v>196</v>
      </c>
      <c r="G648" s="19" t="s">
        <v>2</v>
      </c>
      <c r="H648" s="36" t="str">
        <f>IFERROR(IF(VLOOKUP($G648, 'Enter DVID'!$A$1:$C$61, 2, FALSE)="", "", VLOOKUP($G648, 'Enter DVID'!$A$1:$C$61, 2, FALSE)), "")</f>
        <v>342</v>
      </c>
      <c r="I648" s="36" t="str">
        <f>IFERROR(IF(VLOOKUP($G648, 'Enter DVID'!$A$1:$C$61, 3, FALSE)="", "", VLOOKUP($G648, 'Enter DVID'!$A$1:$C$61, 3, FALSE)), "")</f>
        <v>A</v>
      </c>
      <c r="K648" s="36" t="str">
        <f>IFERROR(IF(VLOOKUP($G648, 'Enter DVID'!$A$1:$D$61, 4, FALSE)="", "", VLOOKUP($G648, 'Enter DVID'!$A$1:$D$61, 4, FALSE)), "")</f>
        <v>STS_LOTID</v>
      </c>
    </row>
    <row r="649" spans="1:12" x14ac:dyDescent="0.25">
      <c r="G649" s="19" t="s">
        <v>235</v>
      </c>
      <c r="H649" s="36" t="str">
        <f>IFERROR(IF(VLOOKUP($G649, 'Enter DVID'!$A$1:$C$61, 2, FALSE)="", "", VLOOKUP($G649, 'Enter DVID'!$A$1:$C$61, 2, FALSE)), "")</f>
        <v>4170</v>
      </c>
      <c r="I649" s="36" t="str">
        <f>IFERROR(IF(VLOOKUP($G649, 'Enter DVID'!$A$1:$C$61, 3, FALSE)="", "", VLOOKUP($G649, 'Enter DVID'!$A$1:$C$61, 3, FALSE)), "")</f>
        <v>A</v>
      </c>
      <c r="K649" s="36" t="str">
        <f>IFERROR(IF(VLOOKUP($G649, 'Enter DVID'!$A$1:$D$61, 4, FALSE)="", "", VLOOKUP($G649, 'Enter DVID'!$A$1:$D$61, 4, FALSE)), "")</f>
        <v>STS_SLOTID</v>
      </c>
    </row>
    <row r="650" spans="1:12" x14ac:dyDescent="0.25">
      <c r="G650" s="19" t="s">
        <v>236</v>
      </c>
      <c r="H650" s="36" t="str">
        <f>IFERROR(IF(VLOOKUP($G650, 'Enter DVID'!$A$1:$C$61, 2, FALSE)="", "", VLOOKUP($G650, 'Enter DVID'!$A$1:$C$61, 2, FALSE)), "")</f>
        <v>346</v>
      </c>
      <c r="I650" s="36" t="str">
        <f>IFERROR(IF(VLOOKUP($G650, 'Enter DVID'!$A$1:$C$61, 3, FALSE)="", "", VLOOKUP($G650, 'Enter DVID'!$A$1:$C$61, 3, FALSE)), "")</f>
        <v>A</v>
      </c>
      <c r="K650" s="36" t="str">
        <f>IFERROR(IF(VLOOKUP($G650, 'Enter DVID'!$A$1:$D$61, 4, FALSE)="", "", VLOOKUP($G650, 'Enter DVID'!$A$1:$D$61, 4, FALSE)), "")</f>
        <v>STS_SUBSTLOCID</v>
      </c>
    </row>
    <row r="651" spans="1:12" x14ac:dyDescent="0.25">
      <c r="G651" s="19" t="s">
        <v>117</v>
      </c>
      <c r="H651" s="36" t="str">
        <f>IFERROR(IF(VLOOKUP($G651, 'Enter DVID'!$A$1:$C$61, 2, FALSE)="", "", VLOOKUP($G651, 'Enter DVID'!$A$1:$C$61, 2, FALSE)), "")</f>
        <v>347</v>
      </c>
      <c r="I651" s="36" t="str">
        <f>IFERROR(IF(VLOOKUP($G651, 'Enter DVID'!$A$1:$C$61, 3, FALSE)="", "", VLOOKUP($G651, 'Enter DVID'!$A$1:$C$61, 3, FALSE)), "")</f>
        <v>U1</v>
      </c>
      <c r="K651" s="36" t="str">
        <f>IFERROR(IF(VLOOKUP($G651, 'Enter DVID'!$A$1:$D$61, 4, FALSE)="", "", VLOOKUP($G651, 'Enter DVID'!$A$1:$D$61, 4, FALSE)), "")</f>
        <v>STS_SUBSTPROCSTATE</v>
      </c>
    </row>
    <row r="652" spans="1:12" x14ac:dyDescent="0.25">
      <c r="G652" s="19" t="s">
        <v>278</v>
      </c>
      <c r="H652" s="36" t="str">
        <f>IFERROR(IF(VLOOKUP($G652, 'Enter DVID'!$A$1:$C$61, 2, FALSE)="", "", VLOOKUP($G652, 'Enter DVID'!$A$1:$C$61, 2, FALSE)), "")</f>
        <v>4180</v>
      </c>
      <c r="I652" s="36" t="str">
        <f>IFERROR(IF(VLOOKUP($G652, 'Enter DVID'!$A$1:$C$61, 3, FALSE)="", "", VLOOKUP($G652, 'Enter DVID'!$A$1:$C$61, 3, FALSE)), "")</f>
        <v>A</v>
      </c>
      <c r="K652" s="36" t="str">
        <f>IFERROR(IF(VLOOKUP($G652, 'Enter DVID'!$A$1:$D$61, 4, FALSE)="", "", VLOOKUP($G652, 'Enter DVID'!$A$1:$D$61, 4, FALSE)), "")</f>
        <v>ACTIVE_PRJOBID</v>
      </c>
    </row>
    <row r="653" spans="1:12" x14ac:dyDescent="0.25">
      <c r="G653" s="19" t="s">
        <v>272</v>
      </c>
      <c r="H653" s="36" t="str">
        <f>IFERROR(IF(VLOOKUP($G653, 'Enter DVID'!$A$1:$C$61, 2, FALSE)="", "", VLOOKUP($G653, 'Enter DVID'!$A$1:$C$61, 2, FALSE)), "")</f>
        <v>4183</v>
      </c>
      <c r="I653" s="36" t="str">
        <f>IFERROR(IF(VLOOKUP($G653, 'Enter DVID'!$A$1:$C$61, 3, FALSE)="", "", VLOOKUP($G653, 'Enter DVID'!$A$1:$C$61, 3, FALSE)), "")</f>
        <v>A</v>
      </c>
      <c r="K653" s="36" t="str">
        <f>IFERROR(IF(VLOOKUP($G653, 'Enter DVID'!$A$1:$D$61, 4, FALSE)="", "", VLOOKUP($G653, 'Enter DVID'!$A$1:$D$61, 4, FALSE)), "")</f>
        <v>ACTIVE_RECIPEID</v>
      </c>
    </row>
    <row r="654" spans="1:12" x14ac:dyDescent="0.25">
      <c r="G654" s="20" t="s">
        <v>276</v>
      </c>
      <c r="H654" s="34" t="str">
        <f>IFERROR(IF(VLOOKUP($G654, 'Enter DVID'!$A$1:$C$61, 2, FALSE)="", "", VLOOKUP($G654, 'Enter DVID'!$A$1:$C$61, 2, FALSE)), "")</f>
        <v>4181</v>
      </c>
      <c r="I654" s="34" t="str">
        <f>IFERROR(IF(VLOOKUP($G654, 'Enter DVID'!$A$1:$C$61, 3, FALSE)="", "", VLOOKUP($G654, 'Enter DVID'!$A$1:$C$61, 3, FALSE)), "")</f>
        <v>U1</v>
      </c>
      <c r="K654" s="34" t="str">
        <f>IFERROR(IF(VLOOKUP($G654, 'Enter DVID'!$A$1:$D$61, 4, FALSE)="", "", VLOOKUP($G654, 'Enter DVID'!$A$1:$D$61, 4, FALSE)), "")</f>
        <v>ACTIVE_PRJOB_PORTID</v>
      </c>
    </row>
    <row r="655" spans="1:12" x14ac:dyDescent="0.25">
      <c r="G655" s="20" t="s">
        <v>275</v>
      </c>
      <c r="H655" s="34" t="str">
        <f>IFERROR(IF(VLOOKUP($G655, 'Enter DVID'!$A$1:$C$61, 2, FALSE)="", "", VLOOKUP($G655, 'Enter DVID'!$A$1:$C$61, 2, FALSE)), "")</f>
        <v>4182</v>
      </c>
      <c r="I655" s="34" t="str">
        <f>IFERROR(IF(VLOOKUP($G655, 'Enter DVID'!$A$1:$C$61, 3, FALSE)="", "", VLOOKUP($G655, 'Enter DVID'!$A$1:$C$61, 3, FALSE)), "")</f>
        <v>A</v>
      </c>
      <c r="K655" s="34" t="str">
        <f>IFERROR(IF(VLOOKUP($G655, 'Enter DVID'!$A$1:$D$61, 4, FALSE)="", "", VLOOKUP($G655, 'Enter DVID'!$A$1:$D$61, 4, FALSE)), "")</f>
        <v>ACTIVE_PRJOB_CARRIERID</v>
      </c>
    </row>
    <row r="656" spans="1:12" x14ac:dyDescent="0.25">
      <c r="G656" s="20" t="s">
        <v>5</v>
      </c>
      <c r="H656" s="34" t="str">
        <f>IFERROR(IF(VLOOKUP($G656, 'Enter DVID'!$A$1:$C$61, 2, FALSE)="", "", VLOOKUP($G656, 'Enter DVID'!$A$1:$C$61, 2, FALSE)), "")</f>
        <v/>
      </c>
      <c r="I656" s="34" t="str">
        <f>IFERROR(IF(VLOOKUP($G656, 'Enter DVID'!$A$1:$C$61, 3, FALSE)="", "", VLOOKUP($G656, 'Enter DVID'!$A$1:$C$61, 3, FALSE)), "")</f>
        <v/>
      </c>
      <c r="K656" s="34" t="str">
        <f>IFERROR(IF(VLOOKUP($G656, 'Enter DVID'!$A$1:$D$61, 4, FALSE)="", "", VLOOKUP($G656, 'Enter DVID'!$A$1:$D$61, 4, FALSE)), "")</f>
        <v/>
      </c>
    </row>
    <row r="657" spans="1:12" x14ac:dyDescent="0.25">
      <c r="G657" s="20" t="s">
        <v>19</v>
      </c>
      <c r="H657" s="34" t="str">
        <f>IFERROR(IF(VLOOKUP($G657, 'Enter DVID'!$A$1:$C$61, 2, FALSE)="", "", VLOOKUP($G657, 'Enter DVID'!$A$1:$C$61, 2, FALSE)), "")</f>
        <v>3</v>
      </c>
      <c r="I657" s="34" t="str">
        <f>IFERROR(IF(VLOOKUP($G657, 'Enter DVID'!$A$1:$C$61, 3, FALSE)="", "", VLOOKUP($G657, 'Enter DVID'!$A$1:$C$61, 3, FALSE)), "")</f>
        <v>A</v>
      </c>
      <c r="K657" s="34" t="str">
        <f>IFERROR(IF(VLOOKUP($G657, 'Enter DVID'!$A$1:$D$61, 4, FALSE)="", "", VLOOKUP($G657, 'Enter DVID'!$A$1:$D$61, 4, FALSE)), "")</f>
        <v>SYS_CLOCK</v>
      </c>
    </row>
    <row r="658" spans="1:12" x14ac:dyDescent="0.25">
      <c r="G658" s="20" t="s">
        <v>130</v>
      </c>
      <c r="H658" s="34" t="str">
        <f>IFERROR(IF(VLOOKUP($G658, 'Enter DVID'!$A$1:$C$61, 2, FALSE)="", "", VLOOKUP($G658, 'Enter DVID'!$A$1:$C$61, 2, FALSE)), "")</f>
        <v>343</v>
      </c>
      <c r="I658" s="34" t="str">
        <f>IFERROR(IF(VLOOKUP($G658, 'Enter DVID'!$A$1:$C$61, 3, FALSE)="", "", VLOOKUP($G658, 'Enter DVID'!$A$1:$C$61, 3, FALSE)), "")</f>
        <v>U1</v>
      </c>
      <c r="K658" s="34" t="str">
        <f>IFERROR(IF(VLOOKUP($G658, 'Enter DVID'!$A$1:$D$61, 4, FALSE)="", "", VLOOKUP($G658, 'Enter DVID'!$A$1:$D$61, 4, FALSE)), "")</f>
        <v>STS_MATERIALSTATUS</v>
      </c>
    </row>
    <row r="659" spans="1:12" x14ac:dyDescent="0.25">
      <c r="G659" s="20" t="s">
        <v>118</v>
      </c>
      <c r="H659" s="34" t="str">
        <f>IFERROR(IF(VLOOKUP($G659, 'Enter DVID'!$A$1:$C$61, 2, FALSE)="", "", VLOOKUP($G659, 'Enter DVID'!$A$1:$C$61, 2, FALSE)), "")</f>
        <v>348</v>
      </c>
      <c r="I659" s="34" t="str">
        <f>IFERROR(IF(VLOOKUP($G659, 'Enter DVID'!$A$1:$C$61, 3, FALSE)="", "", VLOOKUP($G659, 'Enter DVID'!$A$1:$C$61, 3, FALSE)), "")</f>
        <v>A</v>
      </c>
      <c r="K659" s="34" t="str">
        <f>IFERROR(IF(VLOOKUP($G659, 'Enter DVID'!$A$1:$D$61, 4, FALSE)="", "", VLOOKUP($G659, 'Enter DVID'!$A$1:$D$61, 4, FALSE)), "")</f>
        <v>STS_SUBSTSOURCE</v>
      </c>
    </row>
    <row r="660" spans="1:12" x14ac:dyDescent="0.25">
      <c r="G660" s="20" t="s">
        <v>120</v>
      </c>
      <c r="H660" s="34" t="str">
        <f>IFERROR(IF(VLOOKUP($G660, 'Enter DVID'!$A$1:$C$61, 2, FALSE)="", "", VLOOKUP($G660, 'Enter DVID'!$A$1:$C$61, 2, FALSE)), "")</f>
        <v>349</v>
      </c>
      <c r="I660" s="34" t="str">
        <f>IFERROR(IF(VLOOKUP($G660, 'Enter DVID'!$A$1:$C$61, 3, FALSE)="", "", VLOOKUP($G660, 'Enter DVID'!$A$1:$C$61, 3, FALSE)), "")</f>
        <v>U1</v>
      </c>
      <c r="K660" s="34" t="str">
        <f>IFERROR(IF(VLOOKUP($G660, 'Enter DVID'!$A$1:$D$61, 4, FALSE)="", "", VLOOKUP($G660, 'Enter DVID'!$A$1:$D$61, 4, FALSE)), "")</f>
        <v>STS_SUBSTSTATE</v>
      </c>
    </row>
    <row r="661" spans="1:12" x14ac:dyDescent="0.25">
      <c r="G661" s="20" t="s">
        <v>131</v>
      </c>
      <c r="H661" s="34" t="str">
        <f>IFERROR(IF(VLOOKUP($G661, 'Enter DVID'!$A$1:$C$61, 2, FALSE)="", "", VLOOKUP($G661, 'Enter DVID'!$A$1:$C$61, 2, FALSE)), "")</f>
        <v>350</v>
      </c>
      <c r="I661" s="34" t="str">
        <f>IFERROR(IF(VLOOKUP($G661, 'Enter DVID'!$A$1:$C$61, 3, FALSE)="", "", VLOOKUP($G661, 'Enter DVID'!$A$1:$C$61, 3, FALSE)), "")</f>
        <v>U1</v>
      </c>
      <c r="K661" s="34" t="str">
        <f>IFERROR(IF(VLOOKUP($G661, 'Enter DVID'!$A$1:$D$61, 4, FALSE)="", "", VLOOKUP($G661, 'Enter DVID'!$A$1:$D$61, 4, FALSE)), "")</f>
        <v>STS_SUBSTTYPE</v>
      </c>
    </row>
    <row r="662" spans="1:12" x14ac:dyDescent="0.25">
      <c r="G662" s="20" t="s">
        <v>121</v>
      </c>
      <c r="H662" s="34" t="str">
        <f>IFERROR(IF(VLOOKUP($G662, 'Enter DVID'!$A$1:$C$61, 2, FALSE)="", "", VLOOKUP($G662, 'Enter DVID'!$A$1:$C$61, 2, FALSE)), "")</f>
        <v>351</v>
      </c>
      <c r="I662" s="34" t="str">
        <f>IFERROR(IF(VLOOKUP($G662, 'Enter DVID'!$A$1:$C$61, 3, FALSE)="", "", VLOOKUP($G662, 'Enter DVID'!$A$1:$C$61, 3, FALSE)), "")</f>
        <v>U1</v>
      </c>
      <c r="K662" s="34" t="str">
        <f>IFERROR(IF(VLOOKUP($G662, 'Enter DVID'!$A$1:$D$61, 4, FALSE)="", "", VLOOKUP($G662, 'Enter DVID'!$A$1:$D$61, 4, FALSE)), "")</f>
        <v>STS_SUBSTUSAGE</v>
      </c>
    </row>
    <row r="663" spans="1:12" x14ac:dyDescent="0.25">
      <c r="G663" s="20" t="s">
        <v>269</v>
      </c>
      <c r="H663" s="34" t="str">
        <f>IFERROR(IF(VLOOKUP($G663, 'Enter DVID'!$A$1:$C$61, 2, FALSE)="", "", VLOOKUP($G663, 'Enter DVID'!$A$1:$C$61, 2, FALSE)), "")</f>
        <v>4171</v>
      </c>
      <c r="I663" s="34" t="str">
        <f>IFERROR(IF(VLOOKUP($G663, 'Enter DVID'!$A$1:$C$61, 3, FALSE)="", "", VLOOKUP($G663, 'Enter DVID'!$A$1:$C$61, 3, FALSE)), "")</f>
        <v>List</v>
      </c>
      <c r="K663" s="34" t="str">
        <f>IFERROR(IF(VLOOKUP($G663, 'Enter DVID'!$A$1:$D$61, 4, FALSE)="", "", VLOOKUP($G663, 'Enter DVID'!$A$1:$D$61, 4, FALSE)), "")</f>
        <v>SUBSTSTATE_LIST</v>
      </c>
    </row>
    <row r="664" spans="1:12" x14ac:dyDescent="0.25">
      <c r="G664" s="20" t="s">
        <v>129</v>
      </c>
      <c r="H664" s="34" t="str">
        <f>IFERROR(IF(VLOOKUP($G664, 'Enter DVID'!$A$1:$C$61, 2, FALSE)="", "", VLOOKUP($G664, 'Enter DVID'!$A$1:$C$61, 2, FALSE)), "")</f>
        <v>344</v>
      </c>
      <c r="I664" s="34" t="str">
        <f>IFERROR(IF(VLOOKUP($G664, 'Enter DVID'!$A$1:$C$61, 3, FALSE)="", "", VLOOKUP($G664, 'Enter DVID'!$A$1:$C$61, 3, FALSE)), "")</f>
        <v>A</v>
      </c>
      <c r="K664" s="34" t="str">
        <f>IFERROR(IF(VLOOKUP($G664, 'Enter DVID'!$A$1:$D$61, 4, FALSE)="", "", VLOOKUP($G664, 'Enter DVID'!$A$1:$D$61, 4, FALSE)), "")</f>
        <v>STS_SUBSTDESTINATION</v>
      </c>
    </row>
    <row r="666" spans="1:12" ht="16.5" thickBot="1" x14ac:dyDescent="0.3">
      <c r="A666" s="1" t="s">
        <v>14</v>
      </c>
      <c r="B666" s="1" t="s">
        <v>15</v>
      </c>
      <c r="C666" s="3" t="s">
        <v>16</v>
      </c>
      <c r="D666" s="3" t="s">
        <v>122</v>
      </c>
      <c r="E666" s="3" t="s">
        <v>255</v>
      </c>
      <c r="F666" s="15" t="s">
        <v>126</v>
      </c>
      <c r="G666" s="1" t="s">
        <v>123</v>
      </c>
      <c r="H666" s="35" t="s">
        <v>124</v>
      </c>
      <c r="I666" s="35" t="s">
        <v>125</v>
      </c>
      <c r="J666" s="15" t="s">
        <v>100</v>
      </c>
      <c r="K666" s="43" t="s">
        <v>101</v>
      </c>
      <c r="L666" s="15" t="s">
        <v>102</v>
      </c>
    </row>
    <row r="667" spans="1:12" ht="17.25" thickTop="1" thickBot="1" x14ac:dyDescent="0.3">
      <c r="A667" s="4">
        <v>62</v>
      </c>
      <c r="B667" s="2" t="s">
        <v>43</v>
      </c>
      <c r="C667" s="2" t="s">
        <v>203</v>
      </c>
      <c r="D667" s="2" t="s">
        <v>204</v>
      </c>
      <c r="F667" s="62" t="s">
        <v>603</v>
      </c>
      <c r="G667" s="61" t="s">
        <v>234</v>
      </c>
      <c r="H667" s="36" t="str">
        <f>IFERROR(IF(VLOOKUP($G667, 'Enter DVID'!$A$1:$C$61, 2, FALSE)="", "", VLOOKUP($G667, 'Enter DVID'!$A$1:$C$61, 2, FALSE)), "")</f>
        <v>341</v>
      </c>
      <c r="I667" s="63" t="str">
        <f>IFERROR(IF(VLOOKUP($G667, 'Enter DVID'!$A$1:$C$61, 3, FALSE)="", "", VLOOKUP($G667, 'Enter DVID'!$A$1:$C$61, 3, FALSE)), "")</f>
        <v>A</v>
      </c>
      <c r="J667" s="62" t="s">
        <v>604</v>
      </c>
      <c r="K667" s="64" t="str">
        <f>IFERROR(IF(VLOOKUP($G667, 'Enter DVID'!$A$1:$D$61, 4, FALSE)="", "", VLOOKUP($G667, 'Enter DVID'!$A$1:$D$61, 4, FALSE)), "")</f>
        <v>STS_OBJID</v>
      </c>
    </row>
    <row r="668" spans="1:12" ht="16.5" thickTop="1" x14ac:dyDescent="0.25">
      <c r="G668" s="19" t="s">
        <v>2</v>
      </c>
      <c r="H668" s="36" t="str">
        <f>IFERROR(IF(VLOOKUP($G668, 'Enter DVID'!$A$1:$C$61, 2, FALSE)="", "", VLOOKUP($G668, 'Enter DVID'!$A$1:$C$61, 2, FALSE)), "")</f>
        <v>342</v>
      </c>
      <c r="I668" s="36" t="str">
        <f>IFERROR(IF(VLOOKUP($G668, 'Enter DVID'!$A$1:$C$61, 3, FALSE)="", "", VLOOKUP($G668, 'Enter DVID'!$A$1:$C$61, 3, FALSE)), "")</f>
        <v>A</v>
      </c>
      <c r="K668" s="36" t="str">
        <f>IFERROR(IF(VLOOKUP($G668, 'Enter DVID'!$A$1:$D$61, 4, FALSE)="", "", VLOOKUP($G668, 'Enter DVID'!$A$1:$D$61, 4, FALSE)), "")</f>
        <v>STS_LOTID</v>
      </c>
    </row>
    <row r="669" spans="1:12" x14ac:dyDescent="0.25">
      <c r="G669" s="19" t="s">
        <v>235</v>
      </c>
      <c r="H669" s="36" t="str">
        <f>IFERROR(IF(VLOOKUP($G669, 'Enter DVID'!$A$1:$C$61, 2, FALSE)="", "", VLOOKUP($G669, 'Enter DVID'!$A$1:$C$61, 2, FALSE)), "")</f>
        <v>4170</v>
      </c>
      <c r="I669" s="36" t="str">
        <f>IFERROR(IF(VLOOKUP($G669, 'Enter DVID'!$A$1:$C$61, 3, FALSE)="", "", VLOOKUP($G669, 'Enter DVID'!$A$1:$C$61, 3, FALSE)), "")</f>
        <v>A</v>
      </c>
      <c r="K669" s="36" t="str">
        <f>IFERROR(IF(VLOOKUP($G669, 'Enter DVID'!$A$1:$D$61, 4, FALSE)="", "", VLOOKUP($G669, 'Enter DVID'!$A$1:$D$61, 4, FALSE)), "")</f>
        <v>STS_SLOTID</v>
      </c>
    </row>
    <row r="670" spans="1:12" x14ac:dyDescent="0.25">
      <c r="G670" s="19" t="s">
        <v>236</v>
      </c>
      <c r="H670" s="36" t="str">
        <f>IFERROR(IF(VLOOKUP($G670, 'Enter DVID'!$A$1:$C$61, 2, FALSE)="", "", VLOOKUP($G670, 'Enter DVID'!$A$1:$C$61, 2, FALSE)), "")</f>
        <v>346</v>
      </c>
      <c r="I670" s="36" t="str">
        <f>IFERROR(IF(VLOOKUP($G670, 'Enter DVID'!$A$1:$C$61, 3, FALSE)="", "", VLOOKUP($G670, 'Enter DVID'!$A$1:$C$61, 3, FALSE)), "")</f>
        <v>A</v>
      </c>
      <c r="K670" s="36" t="str">
        <f>IFERROR(IF(VLOOKUP($G670, 'Enter DVID'!$A$1:$D$61, 4, FALSE)="", "", VLOOKUP($G670, 'Enter DVID'!$A$1:$D$61, 4, FALSE)), "")</f>
        <v>STS_SUBSTLOCID</v>
      </c>
    </row>
    <row r="671" spans="1:12" x14ac:dyDescent="0.25">
      <c r="G671" s="20" t="s">
        <v>276</v>
      </c>
      <c r="H671" s="34" t="str">
        <f>IFERROR(IF(VLOOKUP($G671, 'Enter DVID'!$A$1:$C$61, 2, FALSE)="", "", VLOOKUP($G671, 'Enter DVID'!$A$1:$C$61, 2, FALSE)), "")</f>
        <v>4181</v>
      </c>
      <c r="I671" s="34" t="str">
        <f>IFERROR(IF(VLOOKUP($G671, 'Enter DVID'!$A$1:$C$61, 3, FALSE)="", "", VLOOKUP($G671, 'Enter DVID'!$A$1:$C$61, 3, FALSE)), "")</f>
        <v>U1</v>
      </c>
      <c r="K671" s="34" t="str">
        <f>IFERROR(IF(VLOOKUP($G671, 'Enter DVID'!$A$1:$D$61, 4, FALSE)="", "", VLOOKUP($G671, 'Enter DVID'!$A$1:$D$61, 4, FALSE)), "")</f>
        <v>ACTIVE_PRJOB_PORTID</v>
      </c>
    </row>
    <row r="672" spans="1:12" x14ac:dyDescent="0.25">
      <c r="G672" s="20" t="s">
        <v>275</v>
      </c>
      <c r="H672" s="34" t="str">
        <f>IFERROR(IF(VLOOKUP($G672, 'Enter DVID'!$A$1:$C$61, 2, FALSE)="", "", VLOOKUP($G672, 'Enter DVID'!$A$1:$C$61, 2, FALSE)), "")</f>
        <v>4182</v>
      </c>
      <c r="I672" s="34" t="str">
        <f>IFERROR(IF(VLOOKUP($G672, 'Enter DVID'!$A$1:$C$61, 3, FALSE)="", "", VLOOKUP($G672, 'Enter DVID'!$A$1:$C$61, 3, FALSE)), "")</f>
        <v>A</v>
      </c>
      <c r="K672" s="34" t="str">
        <f>IFERROR(IF(VLOOKUP($G672, 'Enter DVID'!$A$1:$D$61, 4, FALSE)="", "", VLOOKUP($G672, 'Enter DVID'!$A$1:$D$61, 4, FALSE)), "")</f>
        <v>ACTIVE_PRJOB_CARRIERID</v>
      </c>
    </row>
    <row r="673" spans="1:12" x14ac:dyDescent="0.25">
      <c r="G673" s="20" t="s">
        <v>18</v>
      </c>
      <c r="H673" s="34" t="str">
        <f>IFERROR(IF(VLOOKUP($G673, 'Enter DVID'!$A$1:$C$61, 2, FALSE)="", "", VLOOKUP($G673, 'Enter DVID'!$A$1:$C$61, 2, FALSE)), "")</f>
        <v/>
      </c>
      <c r="I673" s="34" t="str">
        <f>IFERROR(IF(VLOOKUP($G673, 'Enter DVID'!$A$1:$C$61, 3, FALSE)="", "", VLOOKUP($G673, 'Enter DVID'!$A$1:$C$61, 3, FALSE)), "")</f>
        <v/>
      </c>
      <c r="K673" s="34" t="str">
        <f>IFERROR(IF(VLOOKUP($G673, 'Enter DVID'!$A$1:$D$61, 4, FALSE)="", "", VLOOKUP($G673, 'Enter DVID'!$A$1:$D$61, 4, FALSE)), "")</f>
        <v/>
      </c>
    </row>
    <row r="674" spans="1:12" x14ac:dyDescent="0.25">
      <c r="G674" s="20" t="s">
        <v>19</v>
      </c>
      <c r="H674" s="34" t="str">
        <f>IFERROR(IF(VLOOKUP($G674, 'Enter DVID'!$A$1:$C$61, 2, FALSE)="", "", VLOOKUP($G674, 'Enter DVID'!$A$1:$C$61, 2, FALSE)), "")</f>
        <v>3</v>
      </c>
      <c r="I674" s="34" t="str">
        <f>IFERROR(IF(VLOOKUP($G674, 'Enter DVID'!$A$1:$C$61, 3, FALSE)="", "", VLOOKUP($G674, 'Enter DVID'!$A$1:$C$61, 3, FALSE)), "")</f>
        <v>A</v>
      </c>
      <c r="K674" s="34" t="str">
        <f>IFERROR(IF(VLOOKUP($G674, 'Enter DVID'!$A$1:$D$61, 4, FALSE)="", "", VLOOKUP($G674, 'Enter DVID'!$A$1:$D$61, 4, FALSE)), "")</f>
        <v>SYS_CLOCK</v>
      </c>
    </row>
    <row r="676" spans="1:12" ht="16.5" thickBot="1" x14ac:dyDescent="0.3">
      <c r="A676" s="1" t="s">
        <v>14</v>
      </c>
      <c r="B676" s="1" t="s">
        <v>15</v>
      </c>
      <c r="C676" s="3" t="s">
        <v>16</v>
      </c>
      <c r="D676" s="3" t="s">
        <v>122</v>
      </c>
      <c r="E676" s="3" t="s">
        <v>255</v>
      </c>
      <c r="F676" s="15" t="s">
        <v>126</v>
      </c>
      <c r="G676" s="1" t="s">
        <v>123</v>
      </c>
      <c r="H676" s="35" t="s">
        <v>124</v>
      </c>
      <c r="I676" s="35" t="s">
        <v>125</v>
      </c>
      <c r="J676" s="15" t="s">
        <v>100</v>
      </c>
      <c r="K676" s="43" t="s">
        <v>101</v>
      </c>
      <c r="L676" s="15" t="s">
        <v>102</v>
      </c>
    </row>
    <row r="677" spans="1:12" ht="17.25" thickTop="1" thickBot="1" x14ac:dyDescent="0.3">
      <c r="A677" s="4">
        <v>63</v>
      </c>
      <c r="B677" s="2" t="s">
        <v>43</v>
      </c>
      <c r="C677" s="2" t="s">
        <v>205</v>
      </c>
      <c r="D677" s="2" t="s">
        <v>206</v>
      </c>
      <c r="F677" s="62" t="s">
        <v>605</v>
      </c>
      <c r="G677" s="61" t="s">
        <v>234</v>
      </c>
      <c r="H677" s="36" t="str">
        <f>IFERROR(IF(VLOOKUP($G677, 'Enter DVID'!$A$1:$C$61, 2, FALSE)="", "", VLOOKUP($G677, 'Enter DVID'!$A$1:$C$61, 2, FALSE)), "")</f>
        <v>341</v>
      </c>
      <c r="I677" s="63" t="str">
        <f>IFERROR(IF(VLOOKUP($G677, 'Enter DVID'!$A$1:$C$61, 3, FALSE)="", "", VLOOKUP($G677, 'Enter DVID'!$A$1:$C$61, 3, FALSE)), "")</f>
        <v>A</v>
      </c>
      <c r="J677" s="62" t="s">
        <v>606</v>
      </c>
      <c r="K677" s="64" t="str">
        <f>IFERROR(IF(VLOOKUP($G677, 'Enter DVID'!$A$1:$D$61, 4, FALSE)="", "", VLOOKUP($G677, 'Enter DVID'!$A$1:$D$61, 4, FALSE)), "")</f>
        <v>STS_OBJID</v>
      </c>
    </row>
    <row r="678" spans="1:12" ht="16.5" thickTop="1" x14ac:dyDescent="0.25">
      <c r="G678" s="19" t="s">
        <v>2</v>
      </c>
      <c r="H678" s="36" t="str">
        <f>IFERROR(IF(VLOOKUP($G678, 'Enter DVID'!$A$1:$C$61, 2, FALSE)="", "", VLOOKUP($G678, 'Enter DVID'!$A$1:$C$61, 2, FALSE)), "")</f>
        <v>342</v>
      </c>
      <c r="I678" s="36" t="str">
        <f>IFERROR(IF(VLOOKUP($G678, 'Enter DVID'!$A$1:$C$61, 3, FALSE)="", "", VLOOKUP($G678, 'Enter DVID'!$A$1:$C$61, 3, FALSE)), "")</f>
        <v>A</v>
      </c>
      <c r="K678" s="36" t="str">
        <f>IFERROR(IF(VLOOKUP($G678, 'Enter DVID'!$A$1:$D$61, 4, FALSE)="", "", VLOOKUP($G678, 'Enter DVID'!$A$1:$D$61, 4, FALSE)), "")</f>
        <v>STS_LOTID</v>
      </c>
    </row>
    <row r="679" spans="1:12" x14ac:dyDescent="0.25">
      <c r="G679" s="19" t="s">
        <v>235</v>
      </c>
      <c r="H679" s="36" t="str">
        <f>IFERROR(IF(VLOOKUP($G679, 'Enter DVID'!$A$1:$C$61, 2, FALSE)="", "", VLOOKUP($G679, 'Enter DVID'!$A$1:$C$61, 2, FALSE)), "")</f>
        <v>4170</v>
      </c>
      <c r="I679" s="36" t="str">
        <f>IFERROR(IF(VLOOKUP($G679, 'Enter DVID'!$A$1:$C$61, 3, FALSE)="", "", VLOOKUP($G679, 'Enter DVID'!$A$1:$C$61, 3, FALSE)), "")</f>
        <v>A</v>
      </c>
      <c r="K679" s="36" t="str">
        <f>IFERROR(IF(VLOOKUP($G679, 'Enter DVID'!$A$1:$D$61, 4, FALSE)="", "", VLOOKUP($G679, 'Enter DVID'!$A$1:$D$61, 4, FALSE)), "")</f>
        <v>STS_SLOTID</v>
      </c>
    </row>
    <row r="680" spans="1:12" x14ac:dyDescent="0.25">
      <c r="G680" s="19" t="s">
        <v>236</v>
      </c>
      <c r="H680" s="36" t="str">
        <f>IFERROR(IF(VLOOKUP($G680, 'Enter DVID'!$A$1:$C$61, 2, FALSE)="", "", VLOOKUP($G680, 'Enter DVID'!$A$1:$C$61, 2, FALSE)), "")</f>
        <v>346</v>
      </c>
      <c r="I680" s="36" t="str">
        <f>IFERROR(IF(VLOOKUP($G680, 'Enter DVID'!$A$1:$C$61, 3, FALSE)="", "", VLOOKUP($G680, 'Enter DVID'!$A$1:$C$61, 3, FALSE)), "")</f>
        <v>A</v>
      </c>
      <c r="K680" s="36" t="str">
        <f>IFERROR(IF(VLOOKUP($G680, 'Enter DVID'!$A$1:$D$61, 4, FALSE)="", "", VLOOKUP($G680, 'Enter DVID'!$A$1:$D$61, 4, FALSE)), "")</f>
        <v>STS_SUBSTLOCID</v>
      </c>
    </row>
    <row r="681" spans="1:12" x14ac:dyDescent="0.25">
      <c r="G681" s="20" t="s">
        <v>276</v>
      </c>
      <c r="H681" s="34" t="str">
        <f>IFERROR(IF(VLOOKUP($G681, 'Enter DVID'!$A$1:$C$61, 2, FALSE)="", "", VLOOKUP($G681, 'Enter DVID'!$A$1:$C$61, 2, FALSE)), "")</f>
        <v>4181</v>
      </c>
      <c r="I681" s="34" t="str">
        <f>IFERROR(IF(VLOOKUP($G681, 'Enter DVID'!$A$1:$C$61, 3, FALSE)="", "", VLOOKUP($G681, 'Enter DVID'!$A$1:$C$61, 3, FALSE)), "")</f>
        <v>U1</v>
      </c>
      <c r="K681" s="34" t="str">
        <f>IFERROR(IF(VLOOKUP($G681, 'Enter DVID'!$A$1:$D$61, 4, FALSE)="", "", VLOOKUP($G681, 'Enter DVID'!$A$1:$D$61, 4, FALSE)), "")</f>
        <v>ACTIVE_PRJOB_PORTID</v>
      </c>
    </row>
    <row r="682" spans="1:12" x14ac:dyDescent="0.25">
      <c r="G682" s="20" t="s">
        <v>275</v>
      </c>
      <c r="H682" s="34" t="str">
        <f>IFERROR(IF(VLOOKUP($G682, 'Enter DVID'!$A$1:$C$61, 2, FALSE)="", "", VLOOKUP($G682, 'Enter DVID'!$A$1:$C$61, 2, FALSE)), "")</f>
        <v>4182</v>
      </c>
      <c r="I682" s="34" t="str">
        <f>IFERROR(IF(VLOOKUP($G682, 'Enter DVID'!$A$1:$C$61, 3, FALSE)="", "", VLOOKUP($G682, 'Enter DVID'!$A$1:$C$61, 3, FALSE)), "")</f>
        <v>A</v>
      </c>
      <c r="K682" s="34" t="str">
        <f>IFERROR(IF(VLOOKUP($G682, 'Enter DVID'!$A$1:$D$61, 4, FALSE)="", "", VLOOKUP($G682, 'Enter DVID'!$A$1:$D$61, 4, FALSE)), "")</f>
        <v>ACTIVE_PRJOB_CARRIERID</v>
      </c>
    </row>
    <row r="683" spans="1:12" x14ac:dyDescent="0.25">
      <c r="G683" s="20" t="s">
        <v>18</v>
      </c>
      <c r="H683" s="34" t="str">
        <f>IFERROR(IF(VLOOKUP($G683, 'Enter DVID'!$A$1:$C$61, 2, FALSE)="", "", VLOOKUP($G683, 'Enter DVID'!$A$1:$C$61, 2, FALSE)), "")</f>
        <v/>
      </c>
      <c r="I683" s="34" t="str">
        <f>IFERROR(IF(VLOOKUP($G683, 'Enter DVID'!$A$1:$C$61, 3, FALSE)="", "", VLOOKUP($G683, 'Enter DVID'!$A$1:$C$61, 3, FALSE)), "")</f>
        <v/>
      </c>
      <c r="K683" s="34" t="str">
        <f>IFERROR(IF(VLOOKUP($G683, 'Enter DVID'!$A$1:$D$61, 4, FALSE)="", "", VLOOKUP($G683, 'Enter DVID'!$A$1:$D$61, 4, FALSE)), "")</f>
        <v/>
      </c>
    </row>
    <row r="684" spans="1:12" x14ac:dyDescent="0.25">
      <c r="G684" s="20" t="s">
        <v>19</v>
      </c>
      <c r="H684" s="34" t="str">
        <f>IFERROR(IF(VLOOKUP($G684, 'Enter DVID'!$A$1:$C$61, 2, FALSE)="", "", VLOOKUP($G684, 'Enter DVID'!$A$1:$C$61, 2, FALSE)), "")</f>
        <v>3</v>
      </c>
      <c r="I684" s="34" t="str">
        <f>IFERROR(IF(VLOOKUP($G684, 'Enter DVID'!$A$1:$C$61, 3, FALSE)="", "", VLOOKUP($G684, 'Enter DVID'!$A$1:$C$61, 3, FALSE)), "")</f>
        <v>A</v>
      </c>
      <c r="K684" s="34" t="str">
        <f>IFERROR(IF(VLOOKUP($G684, 'Enter DVID'!$A$1:$D$61, 4, FALSE)="", "", VLOOKUP($G684, 'Enter DVID'!$A$1:$D$61, 4, FALSE)), "")</f>
        <v>SYS_CLOCK</v>
      </c>
    </row>
    <row r="686" spans="1:12" ht="16.5" thickBot="1" x14ac:dyDescent="0.3">
      <c r="A686" s="1" t="s">
        <v>14</v>
      </c>
      <c r="B686" s="1" t="s">
        <v>15</v>
      </c>
      <c r="C686" s="3" t="s">
        <v>16</v>
      </c>
      <c r="D686" s="3" t="s">
        <v>122</v>
      </c>
      <c r="E686" s="3" t="s">
        <v>255</v>
      </c>
      <c r="F686" s="15" t="s">
        <v>126</v>
      </c>
      <c r="G686" s="1" t="s">
        <v>123</v>
      </c>
      <c r="H686" s="35" t="s">
        <v>124</v>
      </c>
      <c r="I686" s="35" t="s">
        <v>125</v>
      </c>
      <c r="J686" s="15" t="s">
        <v>100</v>
      </c>
      <c r="K686" s="43" t="s">
        <v>101</v>
      </c>
      <c r="L686" s="15" t="s">
        <v>102</v>
      </c>
    </row>
    <row r="687" spans="1:12" ht="17.25" thickTop="1" thickBot="1" x14ac:dyDescent="0.3">
      <c r="A687" s="4">
        <v>64</v>
      </c>
      <c r="B687" s="2" t="s">
        <v>72</v>
      </c>
      <c r="C687" s="5" t="s">
        <v>110</v>
      </c>
      <c r="D687" s="2" t="s">
        <v>111</v>
      </c>
      <c r="F687" s="62" t="s">
        <v>616</v>
      </c>
      <c r="G687" s="61" t="s">
        <v>234</v>
      </c>
      <c r="H687" s="36" t="str">
        <f>IFERROR(IF(VLOOKUP($G687, 'Enter DVID'!$A$1:$C$61, 2, FALSE)="", "", VLOOKUP($G687, 'Enter DVID'!$A$1:$C$61, 2, FALSE)), "")</f>
        <v>341</v>
      </c>
      <c r="I687" s="63" t="str">
        <f>IFERROR(IF(VLOOKUP($G687, 'Enter DVID'!$A$1:$C$61, 3, FALSE)="", "", VLOOKUP($G687, 'Enter DVID'!$A$1:$C$61, 3, FALSE)), "")</f>
        <v>A</v>
      </c>
      <c r="J687" s="62" t="s">
        <v>617</v>
      </c>
      <c r="K687" s="64" t="str">
        <f>IFERROR(IF(VLOOKUP($G687, 'Enter DVID'!$A$1:$D$61, 4, FALSE)="", "", VLOOKUP($G687, 'Enter DVID'!$A$1:$D$61, 4, FALSE)), "")</f>
        <v>STS_OBJID</v>
      </c>
    </row>
    <row r="688" spans="1:12" ht="16.5" thickTop="1" x14ac:dyDescent="0.25">
      <c r="G688" s="19" t="s">
        <v>2</v>
      </c>
      <c r="H688" s="36" t="str">
        <f>IFERROR(IF(VLOOKUP($G688, 'Enter DVID'!$A$1:$C$61, 2, FALSE)="", "", VLOOKUP($G688, 'Enter DVID'!$A$1:$C$61, 2, FALSE)), "")</f>
        <v>342</v>
      </c>
      <c r="I688" s="36" t="str">
        <f>IFERROR(IF(VLOOKUP($G688, 'Enter DVID'!$A$1:$C$61, 3, FALSE)="", "", VLOOKUP($G688, 'Enter DVID'!$A$1:$C$61, 3, FALSE)), "")</f>
        <v>A</v>
      </c>
      <c r="K688" s="36" t="str">
        <f>IFERROR(IF(VLOOKUP($G688, 'Enter DVID'!$A$1:$D$61, 4, FALSE)="", "", VLOOKUP($G688, 'Enter DVID'!$A$1:$D$61, 4, FALSE)), "")</f>
        <v>STS_LOTID</v>
      </c>
    </row>
    <row r="689" spans="1:12" x14ac:dyDescent="0.25">
      <c r="G689" s="19" t="s">
        <v>235</v>
      </c>
      <c r="H689" s="36" t="str">
        <f>IFERROR(IF(VLOOKUP($G689, 'Enter DVID'!$A$1:$C$61, 2, FALSE)="", "", VLOOKUP($G689, 'Enter DVID'!$A$1:$C$61, 2, FALSE)), "")</f>
        <v>4170</v>
      </c>
      <c r="I689" s="36" t="str">
        <f>IFERROR(IF(VLOOKUP($G689, 'Enter DVID'!$A$1:$C$61, 3, FALSE)="", "", VLOOKUP($G689, 'Enter DVID'!$A$1:$C$61, 3, FALSE)), "")</f>
        <v>A</v>
      </c>
      <c r="K689" s="36" t="str">
        <f>IFERROR(IF(VLOOKUP($G689, 'Enter DVID'!$A$1:$D$61, 4, FALSE)="", "", VLOOKUP($G689, 'Enter DVID'!$A$1:$D$61, 4, FALSE)), "")</f>
        <v>STS_SLOTID</v>
      </c>
    </row>
    <row r="690" spans="1:12" x14ac:dyDescent="0.25">
      <c r="G690" s="19" t="s">
        <v>237</v>
      </c>
      <c r="H690" s="36" t="str">
        <f>IFERROR(IF(VLOOKUP($G690, 'Enter DVID'!$A$1:$C$61, 2, FALSE)="", "", VLOOKUP($G690, 'Enter DVID'!$A$1:$C$61, 2, FALSE)), "")</f>
        <v>4186</v>
      </c>
      <c r="I690" s="36" t="str">
        <f>IFERROR(IF(VLOOKUP($G690, 'Enter DVID'!$A$1:$C$61, 3, FALSE)="", "", VLOOKUP($G690, 'Enter DVID'!$A$1:$C$61, 3, FALSE)), "")</f>
        <v>A</v>
      </c>
      <c r="K690" s="36" t="str">
        <f>IFERROR(IF(VLOOKUP($G690, 'Enter DVID'!$A$1:$D$61, 4, FALSE)="", "", VLOOKUP($G690, 'Enter DVID'!$A$1:$D$61, 4, FALSE)), "")</f>
        <v>CHAMBER_ID</v>
      </c>
    </row>
    <row r="691" spans="1:12" x14ac:dyDescent="0.25">
      <c r="G691" s="19" t="s">
        <v>272</v>
      </c>
      <c r="H691" s="36" t="str">
        <f>IFERROR(IF(VLOOKUP($G691, 'Enter DVID'!$A$1:$C$61, 2, FALSE)="", "", VLOOKUP($G691, 'Enter DVID'!$A$1:$C$61, 2, FALSE)), "")</f>
        <v>4183</v>
      </c>
      <c r="I691" s="36" t="str">
        <f>IFERROR(IF(VLOOKUP($G691, 'Enter DVID'!$A$1:$C$61, 3, FALSE)="", "", VLOOKUP($G691, 'Enter DVID'!$A$1:$C$61, 3, FALSE)), "")</f>
        <v>A</v>
      </c>
      <c r="K691" s="36" t="str">
        <f>IFERROR(IF(VLOOKUP($G691, 'Enter DVID'!$A$1:$D$61, 4, FALSE)="", "", VLOOKUP($G691, 'Enter DVID'!$A$1:$D$61, 4, FALSE)), "")</f>
        <v>ACTIVE_RECIPEID</v>
      </c>
    </row>
    <row r="692" spans="1:12" x14ac:dyDescent="0.25">
      <c r="G692" s="22" t="s">
        <v>275</v>
      </c>
      <c r="H692" s="34" t="str">
        <f>IFERROR(IF(VLOOKUP($G692, 'Enter DVID'!$A$1:$C$61, 2, FALSE)="", "", VLOOKUP($G692, 'Enter DVID'!$A$1:$C$61, 2, FALSE)), "")</f>
        <v>4182</v>
      </c>
      <c r="I692" s="34" t="str">
        <f>IFERROR(IF(VLOOKUP($G692, 'Enter DVID'!$A$1:$C$61, 3, FALSE)="", "", VLOOKUP($G692, 'Enter DVID'!$A$1:$C$61, 3, FALSE)), "")</f>
        <v>A</v>
      </c>
      <c r="K692" s="34" t="str">
        <f>IFERROR(IF(VLOOKUP($G692, 'Enter DVID'!$A$1:$D$61, 4, FALSE)="", "", VLOOKUP($G692, 'Enter DVID'!$A$1:$D$61, 4, FALSE)), "")</f>
        <v>ACTIVE_PRJOB_CARRIERID</v>
      </c>
    </row>
    <row r="693" spans="1:12" x14ac:dyDescent="0.25">
      <c r="G693" s="22" t="s">
        <v>18</v>
      </c>
      <c r="H693" s="34" t="str">
        <f>IFERROR(IF(VLOOKUP($G693, 'Enter DVID'!$A$1:$C$61, 2, FALSE)="", "", VLOOKUP($G693, 'Enter DVID'!$A$1:$C$61, 2, FALSE)), "")</f>
        <v/>
      </c>
      <c r="I693" s="34" t="str">
        <f>IFERROR(IF(VLOOKUP($G693, 'Enter DVID'!$A$1:$C$61, 3, FALSE)="", "", VLOOKUP($G693, 'Enter DVID'!$A$1:$C$61, 3, FALSE)), "")</f>
        <v/>
      </c>
      <c r="K693" s="34" t="str">
        <f>IFERROR(IF(VLOOKUP($G693, 'Enter DVID'!$A$1:$D$61, 4, FALSE)="", "", VLOOKUP($G693, 'Enter DVID'!$A$1:$D$61, 4, FALSE)), "")</f>
        <v/>
      </c>
    </row>
    <row r="694" spans="1:12" x14ac:dyDescent="0.25">
      <c r="G694" s="22" t="s">
        <v>19</v>
      </c>
      <c r="H694" s="34" t="str">
        <f>IFERROR(IF(VLOOKUP($G694, 'Enter DVID'!$A$1:$C$61, 2, FALSE)="", "", VLOOKUP($G694, 'Enter DVID'!$A$1:$C$61, 2, FALSE)), "")</f>
        <v>3</v>
      </c>
      <c r="I694" s="34" t="str">
        <f>IFERROR(IF(VLOOKUP($G694, 'Enter DVID'!$A$1:$C$61, 3, FALSE)="", "", VLOOKUP($G694, 'Enter DVID'!$A$1:$C$61, 3, FALSE)), "")</f>
        <v>A</v>
      </c>
      <c r="K694" s="34" t="str">
        <f>IFERROR(IF(VLOOKUP($G694, 'Enter DVID'!$A$1:$D$61, 4, FALSE)="", "", VLOOKUP($G694, 'Enter DVID'!$A$1:$D$61, 4, FALSE)), "")</f>
        <v>SYS_CLOCK</v>
      </c>
    </row>
    <row r="695" spans="1:12" x14ac:dyDescent="0.25">
      <c r="G695" s="22" t="s">
        <v>127</v>
      </c>
      <c r="H695" s="34" t="str">
        <f>IFERROR(IF(VLOOKUP($G695, 'Enter DVID'!$A$1:$C$61, 2, FALSE)="", "", VLOOKUP($G695, 'Enter DVID'!$A$1:$C$61, 2, FALSE)), "")</f>
        <v>4187</v>
      </c>
      <c r="I695" s="34" t="str">
        <f>IFERROR(IF(VLOOKUP($G695, 'Enter DVID'!$A$1:$C$61, 3, FALSE)="", "", VLOOKUP($G695, 'Enter DVID'!$A$1:$C$61, 3, FALSE)), "")</f>
        <v>A</v>
      </c>
      <c r="K695" s="34" t="str">
        <f>IFERROR(IF(VLOOKUP($G695, 'Enter DVID'!$A$1:$D$61, 4, FALSE)="", "", VLOOKUP($G695, 'Enter DVID'!$A$1:$D$61, 4, FALSE)), "")</f>
        <v>STAGE_ID</v>
      </c>
    </row>
    <row r="696" spans="1:12" x14ac:dyDescent="0.25">
      <c r="G696" s="22" t="s">
        <v>236</v>
      </c>
      <c r="H696" s="34" t="str">
        <f>IFERROR(IF(VLOOKUP($G696, 'Enter DVID'!$A$1:$C$61, 2, FALSE)="", "", VLOOKUP($G696, 'Enter DVID'!$A$1:$C$61, 2, FALSE)), "")</f>
        <v>346</v>
      </c>
      <c r="I696" s="34" t="str">
        <f>IFERROR(IF(VLOOKUP($G696, 'Enter DVID'!$A$1:$C$61, 3, FALSE)="", "", VLOOKUP($G696, 'Enter DVID'!$A$1:$C$61, 3, FALSE)), "")</f>
        <v>A</v>
      </c>
      <c r="K696" s="34" t="str">
        <f>IFERROR(IF(VLOOKUP($G696, 'Enter DVID'!$A$1:$D$61, 4, FALSE)="", "", VLOOKUP($G696, 'Enter DVID'!$A$1:$D$61, 4, FALSE)), "")</f>
        <v>STS_SUBSTLOCID</v>
      </c>
    </row>
    <row r="698" spans="1:12" ht="16.5" thickBot="1" x14ac:dyDescent="0.3">
      <c r="A698" s="1" t="s">
        <v>14</v>
      </c>
      <c r="B698" s="1" t="s">
        <v>15</v>
      </c>
      <c r="C698" s="3" t="s">
        <v>16</v>
      </c>
      <c r="D698" s="3" t="s">
        <v>122</v>
      </c>
      <c r="E698" s="3" t="s">
        <v>255</v>
      </c>
      <c r="F698" s="15" t="s">
        <v>126</v>
      </c>
      <c r="G698" s="1" t="s">
        <v>123</v>
      </c>
      <c r="H698" s="35" t="s">
        <v>124</v>
      </c>
      <c r="I698" s="35" t="s">
        <v>125</v>
      </c>
      <c r="J698" s="15" t="s">
        <v>100</v>
      </c>
      <c r="K698" s="43" t="s">
        <v>101</v>
      </c>
      <c r="L698" s="15" t="s">
        <v>102</v>
      </c>
    </row>
    <row r="699" spans="1:12" ht="17.25" thickTop="1" thickBot="1" x14ac:dyDescent="0.3">
      <c r="A699" s="4">
        <v>65</v>
      </c>
      <c r="B699" s="2" t="s">
        <v>72</v>
      </c>
      <c r="C699" s="5" t="s">
        <v>112</v>
      </c>
      <c r="D699" s="2" t="s">
        <v>113</v>
      </c>
      <c r="F699" s="62" t="s">
        <v>618</v>
      </c>
      <c r="G699" s="61" t="s">
        <v>234</v>
      </c>
      <c r="H699" s="36" t="str">
        <f>IFERROR(IF(VLOOKUP($G699, 'Enter DVID'!$A$1:$C$61, 2, FALSE)="", "", VLOOKUP($G699, 'Enter DVID'!$A$1:$C$61, 2, FALSE)), "")</f>
        <v>341</v>
      </c>
      <c r="I699" s="63" t="str">
        <f>IFERROR(IF(VLOOKUP($G699, 'Enter DVID'!$A$1:$C$61, 3, FALSE)="", "", VLOOKUP($G699, 'Enter DVID'!$A$1:$C$61, 3, FALSE)), "")</f>
        <v>A</v>
      </c>
      <c r="J699" s="62" t="s">
        <v>619</v>
      </c>
      <c r="K699" s="64" t="str">
        <f>IFERROR(IF(VLOOKUP($G699, 'Enter DVID'!$A$1:$D$61, 4, FALSE)="", "", VLOOKUP($G699, 'Enter DVID'!$A$1:$D$61, 4, FALSE)), "")</f>
        <v>STS_OBJID</v>
      </c>
    </row>
    <row r="700" spans="1:12" ht="16.5" thickTop="1" x14ac:dyDescent="0.25">
      <c r="G700" s="19" t="s">
        <v>2</v>
      </c>
      <c r="H700" s="36" t="str">
        <f>IFERROR(IF(VLOOKUP($G700, 'Enter DVID'!$A$1:$C$61, 2, FALSE)="", "", VLOOKUP($G700, 'Enter DVID'!$A$1:$C$61, 2, FALSE)), "")</f>
        <v>342</v>
      </c>
      <c r="I700" s="36" t="str">
        <f>IFERROR(IF(VLOOKUP($G700, 'Enter DVID'!$A$1:$C$61, 3, FALSE)="", "", VLOOKUP($G700, 'Enter DVID'!$A$1:$C$61, 3, FALSE)), "")</f>
        <v>A</v>
      </c>
      <c r="K700" s="36" t="str">
        <f>IFERROR(IF(VLOOKUP($G700, 'Enter DVID'!$A$1:$D$61, 4, FALSE)="", "", VLOOKUP($G700, 'Enter DVID'!$A$1:$D$61, 4, FALSE)), "")</f>
        <v>STS_LOTID</v>
      </c>
    </row>
    <row r="701" spans="1:12" x14ac:dyDescent="0.25">
      <c r="G701" s="19" t="s">
        <v>235</v>
      </c>
      <c r="H701" s="36" t="str">
        <f>IFERROR(IF(VLOOKUP($G701, 'Enter DVID'!$A$1:$C$61, 2, FALSE)="", "", VLOOKUP($G701, 'Enter DVID'!$A$1:$C$61, 2, FALSE)), "")</f>
        <v>4170</v>
      </c>
      <c r="I701" s="36" t="str">
        <f>IFERROR(IF(VLOOKUP($G701, 'Enter DVID'!$A$1:$C$61, 3, FALSE)="", "", VLOOKUP($G701, 'Enter DVID'!$A$1:$C$61, 3, FALSE)), "")</f>
        <v>A</v>
      </c>
      <c r="K701" s="36" t="str">
        <f>IFERROR(IF(VLOOKUP($G701, 'Enter DVID'!$A$1:$D$61, 4, FALSE)="", "", VLOOKUP($G701, 'Enter DVID'!$A$1:$D$61, 4, FALSE)), "")</f>
        <v>STS_SLOTID</v>
      </c>
    </row>
    <row r="702" spans="1:12" x14ac:dyDescent="0.25">
      <c r="G702" s="19" t="s">
        <v>237</v>
      </c>
      <c r="H702" s="36" t="str">
        <f>IFERROR(IF(VLOOKUP($G702, 'Enter DVID'!$A$1:$C$61, 2, FALSE)="", "", VLOOKUP($G702, 'Enter DVID'!$A$1:$C$61, 2, FALSE)), "")</f>
        <v>4186</v>
      </c>
      <c r="I702" s="36" t="str">
        <f>IFERROR(IF(VLOOKUP($G702, 'Enter DVID'!$A$1:$C$61, 3, FALSE)="", "", VLOOKUP($G702, 'Enter DVID'!$A$1:$C$61, 3, FALSE)), "")</f>
        <v>A</v>
      </c>
      <c r="K702" s="36" t="str">
        <f>IFERROR(IF(VLOOKUP($G702, 'Enter DVID'!$A$1:$D$61, 4, FALSE)="", "", VLOOKUP($G702, 'Enter DVID'!$A$1:$D$61, 4, FALSE)), "")</f>
        <v>CHAMBER_ID</v>
      </c>
    </row>
    <row r="703" spans="1:12" x14ac:dyDescent="0.25">
      <c r="G703" s="19" t="s">
        <v>272</v>
      </c>
      <c r="H703" s="36" t="str">
        <f>IFERROR(IF(VLOOKUP($G703, 'Enter DVID'!$A$1:$C$61, 2, FALSE)="", "", VLOOKUP($G703, 'Enter DVID'!$A$1:$C$61, 2, FALSE)), "")</f>
        <v>4183</v>
      </c>
      <c r="I703" s="36" t="str">
        <f>IFERROR(IF(VLOOKUP($G703, 'Enter DVID'!$A$1:$C$61, 3, FALSE)="", "", VLOOKUP($G703, 'Enter DVID'!$A$1:$C$61, 3, FALSE)), "")</f>
        <v>A</v>
      </c>
      <c r="K703" s="36" t="str">
        <f>IFERROR(IF(VLOOKUP($G703, 'Enter DVID'!$A$1:$D$61, 4, FALSE)="", "", VLOOKUP($G703, 'Enter DVID'!$A$1:$D$61, 4, FALSE)), "")</f>
        <v>ACTIVE_RECIPEID</v>
      </c>
    </row>
    <row r="704" spans="1:12" x14ac:dyDescent="0.25">
      <c r="G704" s="20" t="s">
        <v>275</v>
      </c>
      <c r="H704" s="34" t="str">
        <f>IFERROR(IF(VLOOKUP($G704, 'Enter DVID'!$A$1:$C$61, 2, FALSE)="", "", VLOOKUP($G704, 'Enter DVID'!$A$1:$C$61, 2, FALSE)), "")</f>
        <v>4182</v>
      </c>
      <c r="I704" s="34" t="str">
        <f>IFERROR(IF(VLOOKUP($G704, 'Enter DVID'!$A$1:$C$61, 3, FALSE)="", "", VLOOKUP($G704, 'Enter DVID'!$A$1:$C$61, 3, FALSE)), "")</f>
        <v>A</v>
      </c>
      <c r="K704" s="34" t="str">
        <f>IFERROR(IF(VLOOKUP($G704, 'Enter DVID'!$A$1:$D$61, 4, FALSE)="", "", VLOOKUP($G704, 'Enter DVID'!$A$1:$D$61, 4, FALSE)), "")</f>
        <v>ACTIVE_PRJOB_CARRIERID</v>
      </c>
    </row>
    <row r="705" spans="1:12" x14ac:dyDescent="0.25">
      <c r="G705" s="20" t="s">
        <v>18</v>
      </c>
      <c r="H705" s="34" t="str">
        <f>IFERROR(IF(VLOOKUP($G705, 'Enter DVID'!$A$1:$C$61, 2, FALSE)="", "", VLOOKUP($G705, 'Enter DVID'!$A$1:$C$61, 2, FALSE)), "")</f>
        <v/>
      </c>
      <c r="I705" s="34" t="str">
        <f>IFERROR(IF(VLOOKUP($G705, 'Enter DVID'!$A$1:$C$61, 3, FALSE)="", "", VLOOKUP($G705, 'Enter DVID'!$A$1:$C$61, 3, FALSE)), "")</f>
        <v/>
      </c>
      <c r="K705" s="34" t="str">
        <f>IFERROR(IF(VLOOKUP($G705, 'Enter DVID'!$A$1:$D$61, 4, FALSE)="", "", VLOOKUP($G705, 'Enter DVID'!$A$1:$D$61, 4, FALSE)), "")</f>
        <v/>
      </c>
    </row>
    <row r="706" spans="1:12" x14ac:dyDescent="0.25">
      <c r="G706" s="20" t="s">
        <v>19</v>
      </c>
      <c r="H706" s="34" t="str">
        <f>IFERROR(IF(VLOOKUP($G706, 'Enter DVID'!$A$1:$C$61, 2, FALSE)="", "", VLOOKUP($G706, 'Enter DVID'!$A$1:$C$61, 2, FALSE)), "")</f>
        <v>3</v>
      </c>
      <c r="I706" s="34" t="str">
        <f>IFERROR(IF(VLOOKUP($G706, 'Enter DVID'!$A$1:$C$61, 3, FALSE)="", "", VLOOKUP($G706, 'Enter DVID'!$A$1:$C$61, 3, FALSE)), "")</f>
        <v>A</v>
      </c>
      <c r="K706" s="34" t="str">
        <f>IFERROR(IF(VLOOKUP($G706, 'Enter DVID'!$A$1:$D$61, 4, FALSE)="", "", VLOOKUP($G706, 'Enter DVID'!$A$1:$D$61, 4, FALSE)), "")</f>
        <v>SYS_CLOCK</v>
      </c>
    </row>
    <row r="707" spans="1:12" x14ac:dyDescent="0.25">
      <c r="G707" s="20" t="s">
        <v>127</v>
      </c>
      <c r="H707" s="34" t="str">
        <f>IFERROR(IF(VLOOKUP($G707, 'Enter DVID'!$A$1:$C$61, 2, FALSE)="", "", VLOOKUP($G707, 'Enter DVID'!$A$1:$C$61, 2, FALSE)), "")</f>
        <v>4187</v>
      </c>
      <c r="I707" s="34" t="str">
        <f>IFERROR(IF(VLOOKUP($G707, 'Enter DVID'!$A$1:$C$61, 3, FALSE)="", "", VLOOKUP($G707, 'Enter DVID'!$A$1:$C$61, 3, FALSE)), "")</f>
        <v>A</v>
      </c>
      <c r="K707" s="34" t="str">
        <f>IFERROR(IF(VLOOKUP($G707, 'Enter DVID'!$A$1:$D$61, 4, FALSE)="", "", VLOOKUP($G707, 'Enter DVID'!$A$1:$D$61, 4, FALSE)), "")</f>
        <v>STAGE_ID</v>
      </c>
    </row>
    <row r="708" spans="1:12" x14ac:dyDescent="0.25">
      <c r="G708" s="21" t="s">
        <v>236</v>
      </c>
      <c r="H708" s="34" t="str">
        <f>IFERROR(IF(VLOOKUP($G708, 'Enter DVID'!$A$1:$C$61, 2, FALSE)="", "", VLOOKUP($G708, 'Enter DVID'!$A$1:$C$61, 2, FALSE)), "")</f>
        <v>346</v>
      </c>
      <c r="I708" s="34" t="str">
        <f>IFERROR(IF(VLOOKUP($G708, 'Enter DVID'!$A$1:$C$61, 3, FALSE)="", "", VLOOKUP($G708, 'Enter DVID'!$A$1:$C$61, 3, FALSE)), "")</f>
        <v>A</v>
      </c>
      <c r="K708" s="34" t="str">
        <f>IFERROR(IF(VLOOKUP($G708, 'Enter DVID'!$A$1:$D$61, 4, FALSE)="", "", VLOOKUP($G708, 'Enter DVID'!$A$1:$D$61, 4, FALSE)), "")</f>
        <v>STS_SUBSTLOCID</v>
      </c>
    </row>
    <row r="710" spans="1:12" ht="16.5" thickBot="1" x14ac:dyDescent="0.3">
      <c r="A710" s="1" t="s">
        <v>14</v>
      </c>
      <c r="B710" s="1" t="s">
        <v>15</v>
      </c>
      <c r="C710" s="3" t="s">
        <v>16</v>
      </c>
      <c r="D710" s="3" t="s">
        <v>122</v>
      </c>
      <c r="E710" s="3" t="s">
        <v>255</v>
      </c>
      <c r="F710" s="15" t="s">
        <v>126</v>
      </c>
      <c r="G710" s="1" t="s">
        <v>123</v>
      </c>
      <c r="H710" s="35" t="s">
        <v>124</v>
      </c>
      <c r="I710" s="35" t="s">
        <v>125</v>
      </c>
      <c r="J710" s="15" t="s">
        <v>100</v>
      </c>
      <c r="K710" s="43" t="s">
        <v>101</v>
      </c>
      <c r="L710" s="15" t="s">
        <v>102</v>
      </c>
    </row>
    <row r="711" spans="1:12" ht="17.25" thickTop="1" thickBot="1" x14ac:dyDescent="0.3">
      <c r="A711" s="4">
        <v>66</v>
      </c>
      <c r="B711" s="2" t="s">
        <v>72</v>
      </c>
      <c r="C711" s="5" t="s">
        <v>224</v>
      </c>
      <c r="D711" s="2" t="s">
        <v>210</v>
      </c>
      <c r="F711" s="62" t="s">
        <v>620</v>
      </c>
      <c r="G711" s="61" t="s">
        <v>234</v>
      </c>
      <c r="H711" s="36" t="str">
        <f>IFERROR(IF(VLOOKUP($G711, 'Enter DVID'!$A$1:$C$61, 2, FALSE)="", "", VLOOKUP($G711, 'Enter DVID'!$A$1:$C$61, 2, FALSE)), "")</f>
        <v>341</v>
      </c>
      <c r="I711" s="63" t="str">
        <f>IFERROR(IF(VLOOKUP($G711, 'Enter DVID'!$A$1:$C$61, 3, FALSE)="", "", VLOOKUP($G711, 'Enter DVID'!$A$1:$C$61, 3, FALSE)), "")</f>
        <v>A</v>
      </c>
      <c r="J711" s="62" t="s">
        <v>621</v>
      </c>
      <c r="K711" s="64" t="str">
        <f>IFERROR(IF(VLOOKUP($G711, 'Enter DVID'!$A$1:$D$61, 4, FALSE)="", "", VLOOKUP($G711, 'Enter DVID'!$A$1:$D$61, 4, FALSE)), "")</f>
        <v>STS_OBJID</v>
      </c>
    </row>
    <row r="712" spans="1:12" ht="16.5" thickTop="1" x14ac:dyDescent="0.25">
      <c r="G712" s="19" t="s">
        <v>2</v>
      </c>
      <c r="H712" s="36" t="str">
        <f>IFERROR(IF(VLOOKUP($G712, 'Enter DVID'!$A$1:$C$61, 2, FALSE)="", "", VLOOKUP($G712, 'Enter DVID'!$A$1:$C$61, 2, FALSE)), "")</f>
        <v>342</v>
      </c>
      <c r="I712" s="36" t="str">
        <f>IFERROR(IF(VLOOKUP($G712, 'Enter DVID'!$A$1:$C$61, 3, FALSE)="", "", VLOOKUP($G712, 'Enter DVID'!$A$1:$C$61, 3, FALSE)), "")</f>
        <v>A</v>
      </c>
      <c r="K712" s="36" t="str">
        <f>IFERROR(IF(VLOOKUP($G712, 'Enter DVID'!$A$1:$D$61, 4, FALSE)="", "", VLOOKUP($G712, 'Enter DVID'!$A$1:$D$61, 4, FALSE)), "")</f>
        <v>STS_LOTID</v>
      </c>
    </row>
    <row r="713" spans="1:12" x14ac:dyDescent="0.25">
      <c r="G713" s="19" t="s">
        <v>235</v>
      </c>
      <c r="H713" s="36" t="str">
        <f>IFERROR(IF(VLOOKUP($G713, 'Enter DVID'!$A$1:$C$61, 2, FALSE)="", "", VLOOKUP($G713, 'Enter DVID'!$A$1:$C$61, 2, FALSE)), "")</f>
        <v>4170</v>
      </c>
      <c r="I713" s="36" t="str">
        <f>IFERROR(IF(VLOOKUP($G713, 'Enter DVID'!$A$1:$C$61, 3, FALSE)="", "", VLOOKUP($G713, 'Enter DVID'!$A$1:$C$61, 3, FALSE)), "")</f>
        <v>A</v>
      </c>
      <c r="K713" s="36" t="str">
        <f>IFERROR(IF(VLOOKUP($G713, 'Enter DVID'!$A$1:$D$61, 4, FALSE)="", "", VLOOKUP($G713, 'Enter DVID'!$A$1:$D$61, 4, FALSE)), "")</f>
        <v>STS_SLOTID</v>
      </c>
    </row>
    <row r="714" spans="1:12" x14ac:dyDescent="0.25">
      <c r="G714" s="19" t="s">
        <v>237</v>
      </c>
      <c r="H714" s="36" t="str">
        <f>IFERROR(IF(VLOOKUP($G714, 'Enter DVID'!$A$1:$C$61, 2, FALSE)="", "", VLOOKUP($G714, 'Enter DVID'!$A$1:$C$61, 2, FALSE)), "")</f>
        <v>4186</v>
      </c>
      <c r="I714" s="36" t="str">
        <f>IFERROR(IF(VLOOKUP($G714, 'Enter DVID'!$A$1:$C$61, 3, FALSE)="", "", VLOOKUP($G714, 'Enter DVID'!$A$1:$C$61, 3, FALSE)), "")</f>
        <v>A</v>
      </c>
      <c r="K714" s="36" t="str">
        <f>IFERROR(IF(VLOOKUP($G714, 'Enter DVID'!$A$1:$D$61, 4, FALSE)="", "", VLOOKUP($G714, 'Enter DVID'!$A$1:$D$61, 4, FALSE)), "")</f>
        <v>CHAMBER_ID</v>
      </c>
    </row>
    <row r="715" spans="1:12" x14ac:dyDescent="0.25">
      <c r="G715" s="19" t="s">
        <v>284</v>
      </c>
      <c r="H715" s="36" t="str">
        <f>IFERROR(IF(VLOOKUP($G715, 'Enter DVID'!$A$1:$C$61, 2, FALSE)="", "", VLOOKUP($G715, 'Enter DVID'!$A$1:$C$61, 2, FALSE)), "")</f>
        <v>4183</v>
      </c>
      <c r="I715" s="36" t="str">
        <f>IFERROR(IF(VLOOKUP($G715, 'Enter DVID'!$A$1:$C$61, 3, FALSE)="", "", VLOOKUP($G715, 'Enter DVID'!$A$1:$C$61, 3, FALSE)), "")</f>
        <v>A</v>
      </c>
      <c r="K715" s="36" t="str">
        <f>IFERROR(IF(VLOOKUP($G715, 'Enter DVID'!$A$1:$D$61, 4, FALSE)="", "", VLOOKUP($G715, 'Enter DVID'!$A$1:$D$61, 4, FALSE)), "")</f>
        <v>ACTIVE_RECIPEID</v>
      </c>
    </row>
    <row r="716" spans="1:12" x14ac:dyDescent="0.25">
      <c r="G716" s="20" t="s">
        <v>238</v>
      </c>
      <c r="H716" s="34" t="str">
        <f>IFERROR(IF(VLOOKUP($G716, 'Enter DVID'!$A$1:$C$61, 2, FALSE)="", "", VLOOKUP($G716, 'Enter DVID'!$A$1:$C$61, 2, FALSE)), "")</f>
        <v>4188</v>
      </c>
      <c r="I716" s="34" t="str">
        <f>IFERROR(IF(VLOOKUP($G716, 'Enter DVID'!$A$1:$C$61, 3, FALSE)="", "", VLOOKUP($G716, 'Enter DVID'!$A$1:$C$61, 3, FALSE)), "")</f>
        <v>U1</v>
      </c>
      <c r="K716" s="34" t="str">
        <f>IFERROR(IF(VLOOKUP($G716, 'Enter DVID'!$A$1:$D$61, 4, FALSE)="", "", VLOOKUP($G716, 'Enter DVID'!$A$1:$D$61, 4, FALSE)), "")</f>
        <v>RECIPE_STEP</v>
      </c>
    </row>
    <row r="717" spans="1:12" x14ac:dyDescent="0.25">
      <c r="G717" s="20" t="s">
        <v>278</v>
      </c>
      <c r="H717" s="34" t="str">
        <f>IFERROR(IF(VLOOKUP($G717, 'Enter DVID'!$A$1:$C$61, 2, FALSE)="", "", VLOOKUP($G717, 'Enter DVID'!$A$1:$C$61, 2, FALSE)), "")</f>
        <v>4180</v>
      </c>
      <c r="I717" s="34" t="str">
        <f>IFERROR(IF(VLOOKUP($G717, 'Enter DVID'!$A$1:$C$61, 3, FALSE)="", "", VLOOKUP($G717, 'Enter DVID'!$A$1:$C$61, 3, FALSE)), "")</f>
        <v>A</v>
      </c>
      <c r="K717" s="34" t="str">
        <f>IFERROR(IF(VLOOKUP($G717, 'Enter DVID'!$A$1:$D$61, 4, FALSE)="", "", VLOOKUP($G717, 'Enter DVID'!$A$1:$D$61, 4, FALSE)), "")</f>
        <v>ACTIVE_PRJOBID</v>
      </c>
    </row>
    <row r="718" spans="1:12" x14ac:dyDescent="0.25">
      <c r="G718" s="22" t="s">
        <v>283</v>
      </c>
      <c r="H718" s="34" t="str">
        <f>IFERROR(IF(VLOOKUP($G718, 'Enter DVID'!$A$1:$C$61, 2, FALSE)="", "", VLOOKUP($G718, 'Enter DVID'!$A$1:$C$61, 2, FALSE)), "")</f>
        <v>4182</v>
      </c>
      <c r="I718" s="34" t="str">
        <f>IFERROR(IF(VLOOKUP($G718, 'Enter DVID'!$A$1:$C$61, 3, FALSE)="", "", VLOOKUP($G718, 'Enter DVID'!$A$1:$C$61, 3, FALSE)), "")</f>
        <v>A</v>
      </c>
      <c r="K718" s="34" t="str">
        <f>IFERROR(IF(VLOOKUP($G718, 'Enter DVID'!$A$1:$D$61, 4, FALSE)="", "", VLOOKUP($G718, 'Enter DVID'!$A$1:$D$61, 4, FALSE)), "")</f>
        <v>ACTIVE_PRJOB_CARRIERID</v>
      </c>
    </row>
    <row r="719" spans="1:12" x14ac:dyDescent="0.25">
      <c r="G719" s="22" t="s">
        <v>18</v>
      </c>
      <c r="H719" s="34" t="str">
        <f>IFERROR(IF(VLOOKUP($G719, 'Enter DVID'!$A$1:$C$61, 2, FALSE)="", "", VLOOKUP($G719, 'Enter DVID'!$A$1:$C$61, 2, FALSE)), "")</f>
        <v/>
      </c>
      <c r="I719" s="34" t="str">
        <f>IFERROR(IF(VLOOKUP($G719, 'Enter DVID'!$A$1:$C$61, 3, FALSE)="", "", VLOOKUP($G719, 'Enter DVID'!$A$1:$C$61, 3, FALSE)), "")</f>
        <v/>
      </c>
      <c r="K719" s="34" t="str">
        <f>IFERROR(IF(VLOOKUP($G719, 'Enter DVID'!$A$1:$D$61, 4, FALSE)="", "", VLOOKUP($G719, 'Enter DVID'!$A$1:$D$61, 4, FALSE)), "")</f>
        <v/>
      </c>
    </row>
    <row r="720" spans="1:12" x14ac:dyDescent="0.25">
      <c r="G720" s="22" t="s">
        <v>19</v>
      </c>
      <c r="H720" s="34" t="str">
        <f>IFERROR(IF(VLOOKUP($G720, 'Enter DVID'!$A$1:$C$61, 2, FALSE)="", "", VLOOKUP($G720, 'Enter DVID'!$A$1:$C$61, 2, FALSE)), "")</f>
        <v>3</v>
      </c>
      <c r="I720" s="34" t="str">
        <f>IFERROR(IF(VLOOKUP($G720, 'Enter DVID'!$A$1:$C$61, 3, FALSE)="", "", VLOOKUP($G720, 'Enter DVID'!$A$1:$C$61, 3, FALSE)), "")</f>
        <v>A</v>
      </c>
      <c r="K720" s="34" t="str">
        <f>IFERROR(IF(VLOOKUP($G720, 'Enter DVID'!$A$1:$D$61, 4, FALSE)="", "", VLOOKUP($G720, 'Enter DVID'!$A$1:$D$61, 4, FALSE)), "")</f>
        <v>SYS_CLOCK</v>
      </c>
    </row>
    <row r="721" spans="1:12" x14ac:dyDescent="0.25">
      <c r="G721" s="22" t="s">
        <v>127</v>
      </c>
      <c r="H721" s="34" t="str">
        <f>IFERROR(IF(VLOOKUP($G721, 'Enter DVID'!$A$1:$C$61, 2, FALSE)="", "", VLOOKUP($G721, 'Enter DVID'!$A$1:$C$61, 2, FALSE)), "")</f>
        <v>4187</v>
      </c>
      <c r="I721" s="34" t="str">
        <f>IFERROR(IF(VLOOKUP($G721, 'Enter DVID'!$A$1:$C$61, 3, FALSE)="", "", VLOOKUP($G721, 'Enter DVID'!$A$1:$C$61, 3, FALSE)), "")</f>
        <v>A</v>
      </c>
      <c r="K721" s="34" t="str">
        <f>IFERROR(IF(VLOOKUP($G721, 'Enter DVID'!$A$1:$D$61, 4, FALSE)="", "", VLOOKUP($G721, 'Enter DVID'!$A$1:$D$61, 4, FALSE)), "")</f>
        <v>STAGE_ID</v>
      </c>
    </row>
    <row r="722" spans="1:12" x14ac:dyDescent="0.25">
      <c r="G722" s="22" t="s">
        <v>236</v>
      </c>
      <c r="H722" s="34" t="str">
        <f>IFERROR(IF(VLOOKUP($G722, 'Enter DVID'!$A$1:$C$61, 2, FALSE)="", "", VLOOKUP($G722, 'Enter DVID'!$A$1:$C$61, 2, FALSE)), "")</f>
        <v>346</v>
      </c>
      <c r="I722" s="34" t="str">
        <f>IFERROR(IF(VLOOKUP($G722, 'Enter DVID'!$A$1:$C$61, 3, FALSE)="", "", VLOOKUP($G722, 'Enter DVID'!$A$1:$C$61, 3, FALSE)), "")</f>
        <v>A</v>
      </c>
      <c r="K722" s="34" t="str">
        <f>IFERROR(IF(VLOOKUP($G722, 'Enter DVID'!$A$1:$D$61, 4, FALSE)="", "", VLOOKUP($G722, 'Enter DVID'!$A$1:$D$61, 4, FALSE)), "")</f>
        <v>STS_SUBSTLOCID</v>
      </c>
    </row>
    <row r="724" spans="1:12" ht="16.5" thickBot="1" x14ac:dyDescent="0.3">
      <c r="A724" s="1" t="s">
        <v>14</v>
      </c>
      <c r="B724" s="1" t="s">
        <v>15</v>
      </c>
      <c r="C724" s="3" t="s">
        <v>16</v>
      </c>
      <c r="D724" s="3" t="s">
        <v>122</v>
      </c>
      <c r="E724" s="3" t="s">
        <v>255</v>
      </c>
      <c r="F724" s="15" t="s">
        <v>126</v>
      </c>
      <c r="G724" s="1" t="s">
        <v>123</v>
      </c>
      <c r="H724" s="35" t="s">
        <v>124</v>
      </c>
      <c r="I724" s="35" t="s">
        <v>125</v>
      </c>
      <c r="J724" s="15" t="s">
        <v>100</v>
      </c>
      <c r="K724" s="43" t="s">
        <v>101</v>
      </c>
      <c r="L724" s="15" t="s">
        <v>102</v>
      </c>
    </row>
    <row r="725" spans="1:12" ht="17.25" thickTop="1" thickBot="1" x14ac:dyDescent="0.3">
      <c r="A725" s="4">
        <v>67</v>
      </c>
      <c r="B725" s="2" t="s">
        <v>72</v>
      </c>
      <c r="C725" s="5" t="s">
        <v>225</v>
      </c>
      <c r="D725" s="2" t="s">
        <v>212</v>
      </c>
      <c r="F725" s="62" t="s">
        <v>622</v>
      </c>
      <c r="G725" s="61" t="s">
        <v>234</v>
      </c>
      <c r="H725" s="36" t="str">
        <f>IFERROR(IF(VLOOKUP($G725, 'Enter DVID'!$A$1:$C$61, 2, FALSE)="", "", VLOOKUP($G725, 'Enter DVID'!$A$1:$C$61, 2, FALSE)), "")</f>
        <v>341</v>
      </c>
      <c r="I725" s="63" t="str">
        <f>IFERROR(IF(VLOOKUP($G725, 'Enter DVID'!$A$1:$C$61, 3, FALSE)="", "", VLOOKUP($G725, 'Enter DVID'!$A$1:$C$61, 3, FALSE)), "")</f>
        <v>A</v>
      </c>
      <c r="J725" s="62" t="s">
        <v>623</v>
      </c>
      <c r="K725" s="64" t="str">
        <f>IFERROR(IF(VLOOKUP($G725, 'Enter DVID'!$A$1:$D$61, 4, FALSE)="", "", VLOOKUP($G725, 'Enter DVID'!$A$1:$D$61, 4, FALSE)), "")</f>
        <v>STS_OBJID</v>
      </c>
    </row>
    <row r="726" spans="1:12" ht="16.5" thickTop="1" x14ac:dyDescent="0.25">
      <c r="G726" s="19" t="s">
        <v>2</v>
      </c>
      <c r="H726" s="36" t="str">
        <f>IFERROR(IF(VLOOKUP($G726, 'Enter DVID'!$A$1:$C$61, 2, FALSE)="", "", VLOOKUP($G726, 'Enter DVID'!$A$1:$C$61, 2, FALSE)), "")</f>
        <v>342</v>
      </c>
      <c r="I726" s="36" t="str">
        <f>IFERROR(IF(VLOOKUP($G726, 'Enter DVID'!$A$1:$C$61, 3, FALSE)="", "", VLOOKUP($G726, 'Enter DVID'!$A$1:$C$61, 3, FALSE)), "")</f>
        <v>A</v>
      </c>
      <c r="K726" s="36" t="str">
        <f>IFERROR(IF(VLOOKUP($G726, 'Enter DVID'!$A$1:$D$61, 4, FALSE)="", "", VLOOKUP($G726, 'Enter DVID'!$A$1:$D$61, 4, FALSE)), "")</f>
        <v>STS_LOTID</v>
      </c>
    </row>
    <row r="727" spans="1:12" x14ac:dyDescent="0.25">
      <c r="G727" s="19" t="s">
        <v>235</v>
      </c>
      <c r="H727" s="36" t="str">
        <f>IFERROR(IF(VLOOKUP($G727, 'Enter DVID'!$A$1:$C$61, 2, FALSE)="", "", VLOOKUP($G727, 'Enter DVID'!$A$1:$C$61, 2, FALSE)), "")</f>
        <v>4170</v>
      </c>
      <c r="I727" s="36" t="str">
        <f>IFERROR(IF(VLOOKUP($G727, 'Enter DVID'!$A$1:$C$61, 3, FALSE)="", "", VLOOKUP($G727, 'Enter DVID'!$A$1:$C$61, 3, FALSE)), "")</f>
        <v>A</v>
      </c>
      <c r="K727" s="36" t="str">
        <f>IFERROR(IF(VLOOKUP($G727, 'Enter DVID'!$A$1:$D$61, 4, FALSE)="", "", VLOOKUP($G727, 'Enter DVID'!$A$1:$D$61, 4, FALSE)), "")</f>
        <v>STS_SLOTID</v>
      </c>
    </row>
    <row r="728" spans="1:12" x14ac:dyDescent="0.25">
      <c r="G728" s="19" t="s">
        <v>237</v>
      </c>
      <c r="H728" s="36" t="str">
        <f>IFERROR(IF(VLOOKUP($G728, 'Enter DVID'!$A$1:$C$61, 2, FALSE)="", "", VLOOKUP($G728, 'Enter DVID'!$A$1:$C$61, 2, FALSE)), "")</f>
        <v>4186</v>
      </c>
      <c r="I728" s="36" t="str">
        <f>IFERROR(IF(VLOOKUP($G728, 'Enter DVID'!$A$1:$C$61, 3, FALSE)="", "", VLOOKUP($G728, 'Enter DVID'!$A$1:$C$61, 3, FALSE)), "")</f>
        <v>A</v>
      </c>
      <c r="K728" s="36" t="str">
        <f>IFERROR(IF(VLOOKUP($G728, 'Enter DVID'!$A$1:$D$61, 4, FALSE)="", "", VLOOKUP($G728, 'Enter DVID'!$A$1:$D$61, 4, FALSE)), "")</f>
        <v>CHAMBER_ID</v>
      </c>
    </row>
    <row r="729" spans="1:12" x14ac:dyDescent="0.25">
      <c r="G729" s="19" t="s">
        <v>284</v>
      </c>
      <c r="H729" s="36" t="str">
        <f>IFERROR(IF(VLOOKUP($G729, 'Enter DVID'!$A$1:$C$61, 2, FALSE)="", "", VLOOKUP($G729, 'Enter DVID'!$A$1:$C$61, 2, FALSE)), "")</f>
        <v>4183</v>
      </c>
      <c r="I729" s="36" t="str">
        <f>IFERROR(IF(VLOOKUP($G729, 'Enter DVID'!$A$1:$C$61, 3, FALSE)="", "", VLOOKUP($G729, 'Enter DVID'!$A$1:$C$61, 3, FALSE)), "")</f>
        <v>A</v>
      </c>
      <c r="K729" s="36" t="str">
        <f>IFERROR(IF(VLOOKUP($G729, 'Enter DVID'!$A$1:$D$61, 4, FALSE)="", "", VLOOKUP($G729, 'Enter DVID'!$A$1:$D$61, 4, FALSE)), "")</f>
        <v>ACTIVE_RECIPEID</v>
      </c>
    </row>
    <row r="730" spans="1:12" x14ac:dyDescent="0.25">
      <c r="G730" s="20" t="s">
        <v>238</v>
      </c>
      <c r="H730" s="34" t="str">
        <f>IFERROR(IF(VLOOKUP($G730, 'Enter DVID'!$A$1:$C$61, 2, FALSE)="", "", VLOOKUP($G730, 'Enter DVID'!$A$1:$C$61, 2, FALSE)), "")</f>
        <v>4188</v>
      </c>
      <c r="I730" s="34" t="str">
        <f>IFERROR(IF(VLOOKUP($G730, 'Enter DVID'!$A$1:$C$61, 3, FALSE)="", "", VLOOKUP($G730, 'Enter DVID'!$A$1:$C$61, 3, FALSE)), "")</f>
        <v>U1</v>
      </c>
      <c r="K730" s="34" t="str">
        <f>IFERROR(IF(VLOOKUP($G730, 'Enter DVID'!$A$1:$D$61, 4, FALSE)="", "", VLOOKUP($G730, 'Enter DVID'!$A$1:$D$61, 4, FALSE)), "")</f>
        <v>RECIPE_STEP</v>
      </c>
    </row>
    <row r="731" spans="1:12" x14ac:dyDescent="0.25">
      <c r="G731" s="22" t="s">
        <v>278</v>
      </c>
      <c r="H731" s="34" t="str">
        <f>IFERROR(IF(VLOOKUP($G731, 'Enter DVID'!$A$1:$C$61, 2, FALSE)="", "", VLOOKUP($G731, 'Enter DVID'!$A$1:$C$61, 2, FALSE)), "")</f>
        <v>4180</v>
      </c>
      <c r="I731" s="34" t="str">
        <f>IFERROR(IF(VLOOKUP($G731, 'Enter DVID'!$A$1:$C$61, 3, FALSE)="", "", VLOOKUP($G731, 'Enter DVID'!$A$1:$C$61, 3, FALSE)), "")</f>
        <v>A</v>
      </c>
      <c r="K731" s="34" t="str">
        <f>IFERROR(IF(VLOOKUP($G731, 'Enter DVID'!$A$1:$D$61, 4, FALSE)="", "", VLOOKUP($G731, 'Enter DVID'!$A$1:$D$61, 4, FALSE)), "")</f>
        <v>ACTIVE_PRJOBID</v>
      </c>
    </row>
    <row r="732" spans="1:12" x14ac:dyDescent="0.25">
      <c r="G732" s="22" t="s">
        <v>283</v>
      </c>
      <c r="H732" s="34" t="str">
        <f>IFERROR(IF(VLOOKUP($G732, 'Enter DVID'!$A$1:$C$61, 2, FALSE)="", "", VLOOKUP($G732, 'Enter DVID'!$A$1:$C$61, 2, FALSE)), "")</f>
        <v>4182</v>
      </c>
      <c r="I732" s="34" t="str">
        <f>IFERROR(IF(VLOOKUP($G732, 'Enter DVID'!$A$1:$C$61, 3, FALSE)="", "", VLOOKUP($G732, 'Enter DVID'!$A$1:$C$61, 3, FALSE)), "")</f>
        <v>A</v>
      </c>
      <c r="K732" s="34" t="str">
        <f>IFERROR(IF(VLOOKUP($G732, 'Enter DVID'!$A$1:$D$61, 4, FALSE)="", "", VLOOKUP($G732, 'Enter DVID'!$A$1:$D$61, 4, FALSE)), "")</f>
        <v>ACTIVE_PRJOB_CARRIERID</v>
      </c>
    </row>
    <row r="733" spans="1:12" x14ac:dyDescent="0.25">
      <c r="G733" s="22" t="s">
        <v>18</v>
      </c>
      <c r="H733" s="34" t="str">
        <f>IFERROR(IF(VLOOKUP($G733, 'Enter DVID'!$A$1:$C$61, 2, FALSE)="", "", VLOOKUP($G733, 'Enter DVID'!$A$1:$C$61, 2, FALSE)), "")</f>
        <v/>
      </c>
      <c r="I733" s="34" t="str">
        <f>IFERROR(IF(VLOOKUP($G733, 'Enter DVID'!$A$1:$C$61, 3, FALSE)="", "", VLOOKUP($G733, 'Enter DVID'!$A$1:$C$61, 3, FALSE)), "")</f>
        <v/>
      </c>
      <c r="K733" s="34" t="str">
        <f>IFERROR(IF(VLOOKUP($G733, 'Enter DVID'!$A$1:$D$61, 4, FALSE)="", "", VLOOKUP($G733, 'Enter DVID'!$A$1:$D$61, 4, FALSE)), "")</f>
        <v/>
      </c>
    </row>
    <row r="734" spans="1:12" x14ac:dyDescent="0.25">
      <c r="G734" s="22" t="s">
        <v>19</v>
      </c>
      <c r="H734" s="34" t="str">
        <f>IFERROR(IF(VLOOKUP($G734, 'Enter DVID'!$A$1:$C$61, 2, FALSE)="", "", VLOOKUP($G734, 'Enter DVID'!$A$1:$C$61, 2, FALSE)), "")</f>
        <v>3</v>
      </c>
      <c r="I734" s="34" t="str">
        <f>IFERROR(IF(VLOOKUP($G734, 'Enter DVID'!$A$1:$C$61, 3, FALSE)="", "", VLOOKUP($G734, 'Enter DVID'!$A$1:$C$61, 3, FALSE)), "")</f>
        <v>A</v>
      </c>
      <c r="K734" s="34" t="str">
        <f>IFERROR(IF(VLOOKUP($G734, 'Enter DVID'!$A$1:$D$61, 4, FALSE)="", "", VLOOKUP($G734, 'Enter DVID'!$A$1:$D$61, 4, FALSE)), "")</f>
        <v>SYS_CLOCK</v>
      </c>
    </row>
    <row r="735" spans="1:12" x14ac:dyDescent="0.25">
      <c r="G735" s="22" t="s">
        <v>127</v>
      </c>
      <c r="H735" s="34" t="str">
        <f>IFERROR(IF(VLOOKUP($G735, 'Enter DVID'!$A$1:$C$61, 2, FALSE)="", "", VLOOKUP($G735, 'Enter DVID'!$A$1:$C$61, 2, FALSE)), "")</f>
        <v>4187</v>
      </c>
      <c r="I735" s="34" t="str">
        <f>IFERROR(IF(VLOOKUP($G735, 'Enter DVID'!$A$1:$C$61, 3, FALSE)="", "", VLOOKUP($G735, 'Enter DVID'!$A$1:$C$61, 3, FALSE)), "")</f>
        <v>A</v>
      </c>
      <c r="K735" s="34" t="str">
        <f>IFERROR(IF(VLOOKUP($G735, 'Enter DVID'!$A$1:$D$61, 4, FALSE)="", "", VLOOKUP($G735, 'Enter DVID'!$A$1:$D$61, 4, FALSE)), "")</f>
        <v>STAGE_ID</v>
      </c>
    </row>
    <row r="736" spans="1:12" x14ac:dyDescent="0.25">
      <c r="G736" s="22" t="s">
        <v>236</v>
      </c>
      <c r="H736" s="34" t="str">
        <f>IFERROR(IF(VLOOKUP($G736, 'Enter DVID'!$A$1:$C$61, 2, FALSE)="", "", VLOOKUP($G736, 'Enter DVID'!$A$1:$C$61, 2, FALSE)), "")</f>
        <v>346</v>
      </c>
      <c r="I736" s="34" t="str">
        <f>IFERROR(IF(VLOOKUP($G736, 'Enter DVID'!$A$1:$C$61, 3, FALSE)="", "", VLOOKUP($G736, 'Enter DVID'!$A$1:$C$61, 3, FALSE)), "")</f>
        <v>A</v>
      </c>
      <c r="K736" s="34" t="str">
        <f>IFERROR(IF(VLOOKUP($G736, 'Enter DVID'!$A$1:$D$61, 4, FALSE)="", "", VLOOKUP($G736, 'Enter DVID'!$A$1:$D$61, 4, FALSE)), "")</f>
        <v>STS_SUBSTLOCID</v>
      </c>
    </row>
    <row r="738" spans="1:12" ht="16.5" thickBot="1" x14ac:dyDescent="0.3">
      <c r="A738" s="1" t="s">
        <v>14</v>
      </c>
      <c r="B738" s="1" t="s">
        <v>15</v>
      </c>
      <c r="C738" s="3" t="s">
        <v>16</v>
      </c>
      <c r="D738" s="3" t="s">
        <v>122</v>
      </c>
      <c r="E738" s="3" t="s">
        <v>255</v>
      </c>
      <c r="F738" s="15" t="s">
        <v>126</v>
      </c>
      <c r="G738" s="1" t="s">
        <v>123</v>
      </c>
      <c r="H738" s="35" t="s">
        <v>124</v>
      </c>
      <c r="I738" s="35" t="s">
        <v>125</v>
      </c>
      <c r="J738" s="15" t="s">
        <v>100</v>
      </c>
      <c r="K738" s="43" t="s">
        <v>101</v>
      </c>
      <c r="L738" s="15" t="s">
        <v>102</v>
      </c>
    </row>
    <row r="739" spans="1:12" ht="17.25" thickTop="1" thickBot="1" x14ac:dyDescent="0.3">
      <c r="A739" s="4">
        <v>68</v>
      </c>
      <c r="B739" s="2" t="s">
        <v>72</v>
      </c>
      <c r="C739" s="5" t="s">
        <v>222</v>
      </c>
      <c r="D739" s="2" t="s">
        <v>211</v>
      </c>
      <c r="F739" s="62" t="s">
        <v>624</v>
      </c>
      <c r="G739" s="61" t="s">
        <v>237</v>
      </c>
      <c r="H739" s="36" t="str">
        <f>IFERROR(IF(VLOOKUP($G739, 'Enter DVID'!$A$1:$C$61, 2, FALSE)="", "", VLOOKUP($G739, 'Enter DVID'!$A$1:$C$61, 2, FALSE)), "")</f>
        <v>4186</v>
      </c>
      <c r="I739" s="63" t="str">
        <f>IFERROR(IF(VLOOKUP($G739, 'Enter DVID'!$A$1:$C$61, 3, FALSE)="", "", VLOOKUP($G739, 'Enter DVID'!$A$1:$C$61, 3, FALSE)), "")</f>
        <v>A</v>
      </c>
      <c r="J739" s="62" t="s">
        <v>625</v>
      </c>
      <c r="K739" s="64" t="str">
        <f>IFERROR(IF(VLOOKUP($G739, 'Enter DVID'!$A$1:$D$61, 4, FALSE)="", "", VLOOKUP($G739, 'Enter DVID'!$A$1:$D$61, 4, FALSE)), "")</f>
        <v>CHAMBER_ID</v>
      </c>
    </row>
    <row r="740" spans="1:12" ht="16.5" thickTop="1" x14ac:dyDescent="0.25">
      <c r="G740" s="19" t="s">
        <v>272</v>
      </c>
      <c r="H740" s="36" t="str">
        <f>IFERROR(IF(VLOOKUP($G740, 'Enter DVID'!$A$1:$C$61, 2, FALSE)="", "", VLOOKUP($G740, 'Enter DVID'!$A$1:$C$61, 2, FALSE)), "")</f>
        <v>4183</v>
      </c>
      <c r="I740" s="36" t="str">
        <f>IFERROR(IF(VLOOKUP($G740, 'Enter DVID'!$A$1:$C$61, 3, FALSE)="", "", VLOOKUP($G740, 'Enter DVID'!$A$1:$C$61, 3, FALSE)), "")</f>
        <v>A</v>
      </c>
      <c r="K740" s="36" t="str">
        <f>IFERROR(IF(VLOOKUP($G740, 'Enter DVID'!$A$1:$D$61, 4, FALSE)="", "", VLOOKUP($G740, 'Enter DVID'!$A$1:$D$61, 4, FALSE)), "")</f>
        <v>ACTIVE_RECIPEID</v>
      </c>
    </row>
    <row r="741" spans="1:12" x14ac:dyDescent="0.25">
      <c r="G741" s="20" t="s">
        <v>238</v>
      </c>
      <c r="H741" s="34" t="str">
        <f>IFERROR(IF(VLOOKUP($G741, 'Enter DVID'!$A$1:$C$61, 2, FALSE)="", "", VLOOKUP($G741, 'Enter DVID'!$A$1:$C$61, 2, FALSE)), "")</f>
        <v>4188</v>
      </c>
      <c r="I741" s="34" t="str">
        <f>IFERROR(IF(VLOOKUP($G741, 'Enter DVID'!$A$1:$C$61, 3, FALSE)="", "", VLOOKUP($G741, 'Enter DVID'!$A$1:$C$61, 3, FALSE)), "")</f>
        <v>U1</v>
      </c>
      <c r="K741" s="34" t="str">
        <f>IFERROR(IF(VLOOKUP($G741, 'Enter DVID'!$A$1:$D$61, 4, FALSE)="", "", VLOOKUP($G741, 'Enter DVID'!$A$1:$D$61, 4, FALSE)), "")</f>
        <v>RECIPE_STEP</v>
      </c>
    </row>
    <row r="742" spans="1:12" x14ac:dyDescent="0.25">
      <c r="G742" s="20" t="s">
        <v>18</v>
      </c>
      <c r="H742" s="34" t="str">
        <f>IFERROR(IF(VLOOKUP($G742, 'Enter DVID'!$A$1:$C$61, 2, FALSE)="", "", VLOOKUP($G742, 'Enter DVID'!$A$1:$C$61, 2, FALSE)), "")</f>
        <v/>
      </c>
      <c r="I742" s="34" t="str">
        <f>IFERROR(IF(VLOOKUP($G742, 'Enter DVID'!$A$1:$C$61, 3, FALSE)="", "", VLOOKUP($G742, 'Enter DVID'!$A$1:$C$61, 3, FALSE)), "")</f>
        <v/>
      </c>
      <c r="K742" s="34" t="str">
        <f>IFERROR(IF(VLOOKUP($G742, 'Enter DVID'!$A$1:$D$61, 4, FALSE)="", "", VLOOKUP($G742, 'Enter DVID'!$A$1:$D$61, 4, FALSE)), "")</f>
        <v/>
      </c>
    </row>
    <row r="743" spans="1:12" x14ac:dyDescent="0.25">
      <c r="G743" s="20" t="s">
        <v>19</v>
      </c>
      <c r="H743" s="34" t="str">
        <f>IFERROR(IF(VLOOKUP($G743, 'Enter DVID'!$A$1:$C$61, 2, FALSE)="", "", VLOOKUP($G743, 'Enter DVID'!$A$1:$C$61, 2, FALSE)), "")</f>
        <v>3</v>
      </c>
      <c r="I743" s="34" t="str">
        <f>IFERROR(IF(VLOOKUP($G743, 'Enter DVID'!$A$1:$C$61, 3, FALSE)="", "", VLOOKUP($G743, 'Enter DVID'!$A$1:$C$61, 3, FALSE)), "")</f>
        <v>A</v>
      </c>
      <c r="K743" s="34" t="str">
        <f>IFERROR(IF(VLOOKUP($G743, 'Enter DVID'!$A$1:$D$61, 4, FALSE)="", "", VLOOKUP($G743, 'Enter DVID'!$A$1:$D$61, 4, FALSE)), "")</f>
        <v>SYS_CLOCK</v>
      </c>
    </row>
    <row r="744" spans="1:12" x14ac:dyDescent="0.25">
      <c r="G744" s="20" t="s">
        <v>127</v>
      </c>
      <c r="H744" s="34" t="str">
        <f>IFERROR(IF(VLOOKUP($G744, 'Enter DVID'!$A$1:$C$61, 2, FALSE)="", "", VLOOKUP($G744, 'Enter DVID'!$A$1:$C$61, 2, FALSE)), "")</f>
        <v>4187</v>
      </c>
      <c r="I744" s="34" t="str">
        <f>IFERROR(IF(VLOOKUP($G744, 'Enter DVID'!$A$1:$C$61, 3, FALSE)="", "", VLOOKUP($G744, 'Enter DVID'!$A$1:$C$61, 3, FALSE)), "")</f>
        <v>A</v>
      </c>
      <c r="K744" s="34" t="str">
        <f>IFERROR(IF(VLOOKUP($G744, 'Enter DVID'!$A$1:$D$61, 4, FALSE)="", "", VLOOKUP($G744, 'Enter DVID'!$A$1:$D$61, 4, FALSE)), "")</f>
        <v>STAGE_ID</v>
      </c>
    </row>
    <row r="746" spans="1:12" ht="16.5" thickBot="1" x14ac:dyDescent="0.3">
      <c r="A746" s="1" t="s">
        <v>14</v>
      </c>
      <c r="B746" s="1" t="s">
        <v>15</v>
      </c>
      <c r="C746" s="3" t="s">
        <v>16</v>
      </c>
      <c r="D746" s="3" t="s">
        <v>122</v>
      </c>
      <c r="E746" s="3" t="s">
        <v>255</v>
      </c>
      <c r="F746" s="15" t="s">
        <v>126</v>
      </c>
      <c r="G746" s="1" t="s">
        <v>123</v>
      </c>
      <c r="H746" s="35" t="s">
        <v>124</v>
      </c>
      <c r="I746" s="35" t="s">
        <v>125</v>
      </c>
      <c r="J746" s="15" t="s">
        <v>100</v>
      </c>
      <c r="K746" s="43" t="s">
        <v>101</v>
      </c>
      <c r="L746" s="15" t="s">
        <v>102</v>
      </c>
    </row>
    <row r="747" spans="1:12" ht="17.25" thickTop="1" thickBot="1" x14ac:dyDescent="0.3">
      <c r="A747" s="4">
        <v>69</v>
      </c>
      <c r="B747" s="2" t="s">
        <v>72</v>
      </c>
      <c r="C747" s="5" t="s">
        <v>223</v>
      </c>
      <c r="D747" s="2" t="s">
        <v>213</v>
      </c>
      <c r="F747" s="62" t="s">
        <v>626</v>
      </c>
      <c r="G747" s="61" t="s">
        <v>237</v>
      </c>
      <c r="H747" s="36" t="str">
        <f>IFERROR(IF(VLOOKUP($G747, 'Enter DVID'!$A$1:$C$61, 2, FALSE)="", "", VLOOKUP($G747, 'Enter DVID'!$A$1:$C$61, 2, FALSE)), "")</f>
        <v>4186</v>
      </c>
      <c r="I747" s="63" t="str">
        <f>IFERROR(IF(VLOOKUP($G747, 'Enter DVID'!$A$1:$C$61, 3, FALSE)="", "", VLOOKUP($G747, 'Enter DVID'!$A$1:$C$61, 3, FALSE)), "")</f>
        <v>A</v>
      </c>
      <c r="J747" s="62" t="s">
        <v>627</v>
      </c>
      <c r="K747" s="64" t="str">
        <f>IFERROR(IF(VLOOKUP($G747, 'Enter DVID'!$A$1:$D$61, 4, FALSE)="", "", VLOOKUP($G747, 'Enter DVID'!$A$1:$D$61, 4, FALSE)), "")</f>
        <v>CHAMBER_ID</v>
      </c>
    </row>
    <row r="748" spans="1:12" ht="16.5" thickTop="1" x14ac:dyDescent="0.25">
      <c r="G748" s="19" t="s">
        <v>272</v>
      </c>
      <c r="H748" s="36" t="str">
        <f>IFERROR(IF(VLOOKUP($G748, 'Enter DVID'!$A$1:$C$61, 2, FALSE)="", "", VLOOKUP($G748, 'Enter DVID'!$A$1:$C$61, 2, FALSE)), "")</f>
        <v>4183</v>
      </c>
      <c r="I748" s="36" t="str">
        <f>IFERROR(IF(VLOOKUP($G748, 'Enter DVID'!$A$1:$C$61, 3, FALSE)="", "", VLOOKUP($G748, 'Enter DVID'!$A$1:$C$61, 3, FALSE)), "")</f>
        <v>A</v>
      </c>
      <c r="K748" s="36" t="str">
        <f>IFERROR(IF(VLOOKUP($G748, 'Enter DVID'!$A$1:$D$61, 4, FALSE)="", "", VLOOKUP($G748, 'Enter DVID'!$A$1:$D$61, 4, FALSE)), "")</f>
        <v>ACTIVE_RECIPEID</v>
      </c>
    </row>
    <row r="749" spans="1:12" x14ac:dyDescent="0.25">
      <c r="G749" s="20" t="s">
        <v>238</v>
      </c>
      <c r="H749" s="34" t="str">
        <f>IFERROR(IF(VLOOKUP($G749, 'Enter DVID'!$A$1:$C$61, 2, FALSE)="", "", VLOOKUP($G749, 'Enter DVID'!$A$1:$C$61, 2, FALSE)), "")</f>
        <v>4188</v>
      </c>
      <c r="I749" s="34" t="str">
        <f>IFERROR(IF(VLOOKUP($G749, 'Enter DVID'!$A$1:$C$61, 3, FALSE)="", "", VLOOKUP($G749, 'Enter DVID'!$A$1:$C$61, 3, FALSE)), "")</f>
        <v>U1</v>
      </c>
      <c r="K749" s="34" t="str">
        <f>IFERROR(IF(VLOOKUP($G749, 'Enter DVID'!$A$1:$D$61, 4, FALSE)="", "", VLOOKUP($G749, 'Enter DVID'!$A$1:$D$61, 4, FALSE)), "")</f>
        <v>RECIPE_STEP</v>
      </c>
    </row>
    <row r="750" spans="1:12" x14ac:dyDescent="0.25">
      <c r="G750" s="20" t="s">
        <v>18</v>
      </c>
      <c r="H750" s="34" t="str">
        <f>IFERROR(IF(VLOOKUP($G750, 'Enter DVID'!$A$1:$C$61, 2, FALSE)="", "", VLOOKUP($G750, 'Enter DVID'!$A$1:$C$61, 2, FALSE)), "")</f>
        <v/>
      </c>
      <c r="I750" s="34" t="str">
        <f>IFERROR(IF(VLOOKUP($G750, 'Enter DVID'!$A$1:$C$61, 3, FALSE)="", "", VLOOKUP($G750, 'Enter DVID'!$A$1:$C$61, 3, FALSE)), "")</f>
        <v/>
      </c>
      <c r="K750" s="34" t="str">
        <f>IFERROR(IF(VLOOKUP($G750, 'Enter DVID'!$A$1:$D$61, 4, FALSE)="", "", VLOOKUP($G750, 'Enter DVID'!$A$1:$D$61, 4, FALSE)), "")</f>
        <v/>
      </c>
    </row>
    <row r="751" spans="1:12" x14ac:dyDescent="0.25">
      <c r="G751" s="20" t="s">
        <v>19</v>
      </c>
      <c r="H751" s="34" t="str">
        <f>IFERROR(IF(VLOOKUP($G751, 'Enter DVID'!$A$1:$C$61, 2, FALSE)="", "", VLOOKUP($G751, 'Enter DVID'!$A$1:$C$61, 2, FALSE)), "")</f>
        <v>3</v>
      </c>
      <c r="I751" s="34" t="str">
        <f>IFERROR(IF(VLOOKUP($G751, 'Enter DVID'!$A$1:$C$61, 3, FALSE)="", "", VLOOKUP($G751, 'Enter DVID'!$A$1:$C$61, 3, FALSE)), "")</f>
        <v>A</v>
      </c>
      <c r="K751" s="34" t="str">
        <f>IFERROR(IF(VLOOKUP($G751, 'Enter DVID'!$A$1:$D$61, 4, FALSE)="", "", VLOOKUP($G751, 'Enter DVID'!$A$1:$D$61, 4, FALSE)), "")</f>
        <v>SYS_CLOCK</v>
      </c>
    </row>
    <row r="752" spans="1:12" x14ac:dyDescent="0.25">
      <c r="G752" s="20" t="s">
        <v>127</v>
      </c>
      <c r="H752" s="34" t="str">
        <f>IFERROR(IF(VLOOKUP($G752, 'Enter DVID'!$A$1:$C$61, 2, FALSE)="", "", VLOOKUP($G752, 'Enter DVID'!$A$1:$C$61, 2, FALSE)), "")</f>
        <v>4187</v>
      </c>
      <c r="I752" s="34" t="str">
        <f>IFERROR(IF(VLOOKUP($G752, 'Enter DVID'!$A$1:$C$61, 3, FALSE)="", "", VLOOKUP($G752, 'Enter DVID'!$A$1:$C$61, 3, FALSE)), "")</f>
        <v>A</v>
      </c>
      <c r="K752" s="34" t="str">
        <f>IFERROR(IF(VLOOKUP($G752, 'Enter DVID'!$A$1:$D$61, 4, FALSE)="", "", VLOOKUP($G752, 'Enter DVID'!$A$1:$D$61, 4, FALSE)), "")</f>
        <v>STAGE_ID</v>
      </c>
    </row>
    <row r="754" spans="1:12" ht="16.5" thickBot="1" x14ac:dyDescent="0.3">
      <c r="A754" s="1" t="s">
        <v>14</v>
      </c>
      <c r="B754" s="1" t="s">
        <v>15</v>
      </c>
      <c r="C754" s="3" t="s">
        <v>16</v>
      </c>
      <c r="D754" s="3" t="s">
        <v>122</v>
      </c>
      <c r="E754" s="3" t="s">
        <v>255</v>
      </c>
      <c r="F754" s="15" t="s">
        <v>126</v>
      </c>
      <c r="G754" s="1" t="s">
        <v>123</v>
      </c>
      <c r="H754" s="35" t="s">
        <v>124</v>
      </c>
      <c r="I754" s="35" t="s">
        <v>125</v>
      </c>
      <c r="J754" s="15" t="s">
        <v>100</v>
      </c>
      <c r="K754" s="43" t="s">
        <v>101</v>
      </c>
      <c r="L754" s="15" t="s">
        <v>102</v>
      </c>
    </row>
    <row r="755" spans="1:12" ht="33" thickTop="1" thickBot="1" x14ac:dyDescent="0.3">
      <c r="A755" s="4">
        <v>70</v>
      </c>
      <c r="B755" s="2" t="s">
        <v>72</v>
      </c>
      <c r="C755" s="5" t="s">
        <v>220</v>
      </c>
      <c r="D755" s="2" t="s">
        <v>214</v>
      </c>
      <c r="F755" s="62" t="s">
        <v>628</v>
      </c>
      <c r="G755" s="61" t="s">
        <v>234</v>
      </c>
      <c r="H755" s="36" t="str">
        <f>IFERROR(IF(VLOOKUP($G755, 'Enter DVID'!$A$1:$C$61, 2, FALSE)="", "", VLOOKUP($G755, 'Enter DVID'!$A$1:$C$61, 2, FALSE)), "")</f>
        <v>341</v>
      </c>
      <c r="I755" s="63" t="str">
        <f>IFERROR(IF(VLOOKUP($G755, 'Enter DVID'!$A$1:$C$61, 3, FALSE)="", "", VLOOKUP($G755, 'Enter DVID'!$A$1:$C$61, 3, FALSE)), "")</f>
        <v>A</v>
      </c>
      <c r="J755" s="62" t="s">
        <v>630</v>
      </c>
      <c r="K755" s="64" t="str">
        <f>IFERROR(IF(VLOOKUP($G755, 'Enter DVID'!$A$1:$D$61, 4, FALSE)="", "", VLOOKUP($G755, 'Enter DVID'!$A$1:$D$61, 4, FALSE)), "")</f>
        <v>STS_OBJID</v>
      </c>
    </row>
    <row r="756" spans="1:12" ht="16.5" thickTop="1" x14ac:dyDescent="0.25">
      <c r="G756" s="19" t="s">
        <v>2</v>
      </c>
      <c r="H756" s="36" t="str">
        <f>IFERROR(IF(VLOOKUP($G756, 'Enter DVID'!$A$1:$C$61, 2, FALSE)="", "", VLOOKUP($G756, 'Enter DVID'!$A$1:$C$61, 2, FALSE)), "")</f>
        <v>342</v>
      </c>
      <c r="I756" s="36" t="str">
        <f>IFERROR(IF(VLOOKUP($G756, 'Enter DVID'!$A$1:$C$61, 3, FALSE)="", "", VLOOKUP($G756, 'Enter DVID'!$A$1:$C$61, 3, FALSE)), "")</f>
        <v>A</v>
      </c>
      <c r="K756" s="36" t="str">
        <f>IFERROR(IF(VLOOKUP($G756, 'Enter DVID'!$A$1:$D$61, 4, FALSE)="", "", VLOOKUP($G756, 'Enter DVID'!$A$1:$D$61, 4, FALSE)), "")</f>
        <v>STS_LOTID</v>
      </c>
    </row>
    <row r="757" spans="1:12" x14ac:dyDescent="0.25">
      <c r="G757" s="19" t="s">
        <v>235</v>
      </c>
      <c r="H757" s="36" t="str">
        <f>IFERROR(IF(VLOOKUP($G757, 'Enter DVID'!$A$1:$C$61, 2, FALSE)="", "", VLOOKUP($G757, 'Enter DVID'!$A$1:$C$61, 2, FALSE)), "")</f>
        <v>4170</v>
      </c>
      <c r="I757" s="36" t="str">
        <f>IFERROR(IF(VLOOKUP($G757, 'Enter DVID'!$A$1:$C$61, 3, FALSE)="", "", VLOOKUP($G757, 'Enter DVID'!$A$1:$C$61, 3, FALSE)), "")</f>
        <v>A</v>
      </c>
      <c r="K757" s="36" t="str">
        <f>IFERROR(IF(VLOOKUP($G757, 'Enter DVID'!$A$1:$D$61, 4, FALSE)="", "", VLOOKUP($G757, 'Enter DVID'!$A$1:$D$61, 4, FALSE)), "")</f>
        <v>STS_SLOTID</v>
      </c>
    </row>
    <row r="758" spans="1:12" x14ac:dyDescent="0.25">
      <c r="G758" s="19" t="s">
        <v>237</v>
      </c>
      <c r="H758" s="36" t="str">
        <f>IFERROR(IF(VLOOKUP($G758, 'Enter DVID'!$A$1:$C$61, 2, FALSE)="", "", VLOOKUP($G758, 'Enter DVID'!$A$1:$C$61, 2, FALSE)), "")</f>
        <v>4186</v>
      </c>
      <c r="I758" s="36" t="str">
        <f>IFERROR(IF(VLOOKUP($G758, 'Enter DVID'!$A$1:$C$61, 3, FALSE)="", "", VLOOKUP($G758, 'Enter DVID'!$A$1:$C$61, 3, FALSE)), "")</f>
        <v>A</v>
      </c>
      <c r="K758" s="36" t="str">
        <f>IFERROR(IF(VLOOKUP($G758, 'Enter DVID'!$A$1:$D$61, 4, FALSE)="", "", VLOOKUP($G758, 'Enter DVID'!$A$1:$D$61, 4, FALSE)), "")</f>
        <v>CHAMBER_ID</v>
      </c>
    </row>
    <row r="759" spans="1:12" x14ac:dyDescent="0.25">
      <c r="G759" s="19" t="s">
        <v>284</v>
      </c>
      <c r="H759" s="36" t="str">
        <f>IFERROR(IF(VLOOKUP($G759, 'Enter DVID'!$A$1:$C$61, 2, FALSE)="", "", VLOOKUP($G759, 'Enter DVID'!$A$1:$C$61, 2, FALSE)), "")</f>
        <v>4183</v>
      </c>
      <c r="I759" s="36" t="str">
        <f>IFERROR(IF(VLOOKUP($G759, 'Enter DVID'!$A$1:$C$61, 3, FALSE)="", "", VLOOKUP($G759, 'Enter DVID'!$A$1:$C$61, 3, FALSE)), "")</f>
        <v>A</v>
      </c>
      <c r="K759" s="36" t="str">
        <f>IFERROR(IF(VLOOKUP($G759, 'Enter DVID'!$A$1:$D$61, 4, FALSE)="", "", VLOOKUP($G759, 'Enter DVID'!$A$1:$D$61, 4, FALSE)), "")</f>
        <v>ACTIVE_RECIPEID</v>
      </c>
    </row>
    <row r="760" spans="1:12" x14ac:dyDescent="0.25">
      <c r="G760" s="19" t="s">
        <v>238</v>
      </c>
      <c r="H760" s="36" t="str">
        <f>IFERROR(IF(VLOOKUP($G760, 'Enter DVID'!$A$1:$C$61, 2, FALSE)="", "", VLOOKUP($G760, 'Enter DVID'!$A$1:$C$61, 2, FALSE)), "")</f>
        <v>4188</v>
      </c>
      <c r="I760" s="36" t="str">
        <f>IFERROR(IF(VLOOKUP($G760, 'Enter DVID'!$A$1:$C$61, 3, FALSE)="", "", VLOOKUP($G760, 'Enter DVID'!$A$1:$C$61, 3, FALSE)), "")</f>
        <v>U1</v>
      </c>
      <c r="K760" s="36" t="str">
        <f>IFERROR(IF(VLOOKUP($G760, 'Enter DVID'!$A$1:$D$61, 4, FALSE)="", "", VLOOKUP($G760, 'Enter DVID'!$A$1:$D$61, 4, FALSE)), "")</f>
        <v>RECIPE_STEP</v>
      </c>
    </row>
    <row r="761" spans="1:12" x14ac:dyDescent="0.25">
      <c r="G761" s="20" t="s">
        <v>278</v>
      </c>
      <c r="H761" s="34" t="str">
        <f>IFERROR(IF(VLOOKUP($G761, 'Enter DVID'!$A$1:$C$61, 2, FALSE)="", "", VLOOKUP($G761, 'Enter DVID'!$A$1:$C$61, 2, FALSE)), "")</f>
        <v>4180</v>
      </c>
      <c r="I761" s="34" t="str">
        <f>IFERROR(IF(VLOOKUP($G761, 'Enter DVID'!$A$1:$C$61, 3, FALSE)="", "", VLOOKUP($G761, 'Enter DVID'!$A$1:$C$61, 3, FALSE)), "")</f>
        <v>A</v>
      </c>
      <c r="K761" s="34" t="str">
        <f>IFERROR(IF(VLOOKUP($G761, 'Enter DVID'!$A$1:$D$61, 4, FALSE)="", "", VLOOKUP($G761, 'Enter DVID'!$A$1:$D$61, 4, FALSE)), "")</f>
        <v>ACTIVE_PRJOBID</v>
      </c>
    </row>
    <row r="762" spans="1:12" x14ac:dyDescent="0.25">
      <c r="G762" s="20" t="s">
        <v>283</v>
      </c>
      <c r="H762" s="34" t="str">
        <f>IFERROR(IF(VLOOKUP($G762, 'Enter DVID'!$A$1:$C$61, 2, FALSE)="", "", VLOOKUP($G762, 'Enter DVID'!$A$1:$C$61, 2, FALSE)), "")</f>
        <v>4182</v>
      </c>
      <c r="I762" s="34" t="str">
        <f>IFERROR(IF(VLOOKUP($G762, 'Enter DVID'!$A$1:$C$61, 3, FALSE)="", "", VLOOKUP($G762, 'Enter DVID'!$A$1:$C$61, 3, FALSE)), "")</f>
        <v>A</v>
      </c>
      <c r="K762" s="34" t="str">
        <f>IFERROR(IF(VLOOKUP($G762, 'Enter DVID'!$A$1:$D$61, 4, FALSE)="", "", VLOOKUP($G762, 'Enter DVID'!$A$1:$D$61, 4, FALSE)), "")</f>
        <v>ACTIVE_PRJOB_CARRIERID</v>
      </c>
    </row>
    <row r="763" spans="1:12" x14ac:dyDescent="0.25">
      <c r="G763" s="20" t="s">
        <v>18</v>
      </c>
      <c r="H763" s="34" t="str">
        <f>IFERROR(IF(VLOOKUP($G763, 'Enter DVID'!$A$1:$C$61, 2, FALSE)="", "", VLOOKUP($G763, 'Enter DVID'!$A$1:$C$61, 2, FALSE)), "")</f>
        <v/>
      </c>
      <c r="I763" s="34" t="str">
        <f>IFERROR(IF(VLOOKUP($G763, 'Enter DVID'!$A$1:$C$61, 3, FALSE)="", "", VLOOKUP($G763, 'Enter DVID'!$A$1:$C$61, 3, FALSE)), "")</f>
        <v/>
      </c>
      <c r="K763" s="34" t="str">
        <f>IFERROR(IF(VLOOKUP($G763, 'Enter DVID'!$A$1:$D$61, 4, FALSE)="", "", VLOOKUP($G763, 'Enter DVID'!$A$1:$D$61, 4, FALSE)), "")</f>
        <v/>
      </c>
    </row>
    <row r="764" spans="1:12" x14ac:dyDescent="0.25">
      <c r="G764" s="20" t="s">
        <v>19</v>
      </c>
      <c r="H764" s="34" t="str">
        <f>IFERROR(IF(VLOOKUP($G764, 'Enter DVID'!$A$1:$C$61, 2, FALSE)="", "", VLOOKUP($G764, 'Enter DVID'!$A$1:$C$61, 2, FALSE)), "")</f>
        <v>3</v>
      </c>
      <c r="I764" s="34" t="str">
        <f>IFERROR(IF(VLOOKUP($G764, 'Enter DVID'!$A$1:$C$61, 3, FALSE)="", "", VLOOKUP($G764, 'Enter DVID'!$A$1:$C$61, 3, FALSE)), "")</f>
        <v>A</v>
      </c>
      <c r="K764" s="34" t="str">
        <f>IFERROR(IF(VLOOKUP($G764, 'Enter DVID'!$A$1:$D$61, 4, FALSE)="", "", VLOOKUP($G764, 'Enter DVID'!$A$1:$D$61, 4, FALSE)), "")</f>
        <v>SYS_CLOCK</v>
      </c>
    </row>
    <row r="765" spans="1:12" x14ac:dyDescent="0.25">
      <c r="G765" s="20" t="s">
        <v>127</v>
      </c>
      <c r="H765" s="34" t="str">
        <f>IFERROR(IF(VLOOKUP($G765, 'Enter DVID'!$A$1:$C$61, 2, FALSE)="", "", VLOOKUP($G765, 'Enter DVID'!$A$1:$C$61, 2, FALSE)), "")</f>
        <v>4187</v>
      </c>
      <c r="I765" s="34" t="str">
        <f>IFERROR(IF(VLOOKUP($G765, 'Enter DVID'!$A$1:$C$61, 3, FALSE)="", "", VLOOKUP($G765, 'Enter DVID'!$A$1:$C$61, 3, FALSE)), "")</f>
        <v>A</v>
      </c>
      <c r="K765" s="34" t="str">
        <f>IFERROR(IF(VLOOKUP($G765, 'Enter DVID'!$A$1:$D$61, 4, FALSE)="", "", VLOOKUP($G765, 'Enter DVID'!$A$1:$D$61, 4, FALSE)), "")</f>
        <v>STAGE_ID</v>
      </c>
    </row>
    <row r="766" spans="1:12" x14ac:dyDescent="0.25">
      <c r="G766" s="20" t="s">
        <v>236</v>
      </c>
      <c r="H766" s="34" t="str">
        <f>IFERROR(IF(VLOOKUP($G766, 'Enter DVID'!$A$1:$C$61, 2, FALSE)="", "", VLOOKUP($G766, 'Enter DVID'!$A$1:$C$61, 2, FALSE)), "")</f>
        <v>346</v>
      </c>
      <c r="I766" s="34" t="str">
        <f>IFERROR(IF(VLOOKUP($G766, 'Enter DVID'!$A$1:$C$61, 3, FALSE)="", "", VLOOKUP($G766, 'Enter DVID'!$A$1:$C$61, 3, FALSE)), "")</f>
        <v>A</v>
      </c>
      <c r="K766" s="34" t="str">
        <f>IFERROR(IF(VLOOKUP($G766, 'Enter DVID'!$A$1:$D$61, 4, FALSE)="", "", VLOOKUP($G766, 'Enter DVID'!$A$1:$D$61, 4, FALSE)), "")</f>
        <v>STS_SUBSTLOCID</v>
      </c>
    </row>
    <row r="768" spans="1:12" ht="16.5" thickBot="1" x14ac:dyDescent="0.3">
      <c r="A768" s="1" t="s">
        <v>14</v>
      </c>
      <c r="B768" s="1" t="s">
        <v>15</v>
      </c>
      <c r="C768" s="3" t="s">
        <v>16</v>
      </c>
      <c r="D768" s="3" t="s">
        <v>122</v>
      </c>
      <c r="E768" s="3" t="s">
        <v>255</v>
      </c>
      <c r="F768" s="15" t="s">
        <v>126</v>
      </c>
      <c r="G768" s="1" t="s">
        <v>123</v>
      </c>
      <c r="H768" s="35" t="s">
        <v>124</v>
      </c>
      <c r="I768" s="35" t="s">
        <v>125</v>
      </c>
      <c r="J768" s="15" t="s">
        <v>100</v>
      </c>
      <c r="K768" s="43" t="s">
        <v>101</v>
      </c>
      <c r="L768" s="15" t="s">
        <v>102</v>
      </c>
    </row>
    <row r="769" spans="1:12" ht="33" thickTop="1" thickBot="1" x14ac:dyDescent="0.3">
      <c r="A769" s="4">
        <v>71</v>
      </c>
      <c r="B769" s="2" t="s">
        <v>72</v>
      </c>
      <c r="C769" s="5" t="s">
        <v>221</v>
      </c>
      <c r="D769" s="2" t="s">
        <v>216</v>
      </c>
      <c r="F769" s="62" t="s">
        <v>629</v>
      </c>
      <c r="G769" s="61" t="s">
        <v>234</v>
      </c>
      <c r="H769" s="36" t="str">
        <f>IFERROR(IF(VLOOKUP($G769, 'Enter DVID'!$A$1:$C$61, 2, FALSE)="", "", VLOOKUP($G769, 'Enter DVID'!$A$1:$C$61, 2, FALSE)), "")</f>
        <v>341</v>
      </c>
      <c r="I769" s="63" t="str">
        <f>IFERROR(IF(VLOOKUP($G769, 'Enter DVID'!$A$1:$C$61, 3, FALSE)="", "", VLOOKUP($G769, 'Enter DVID'!$A$1:$C$61, 3, FALSE)), "")</f>
        <v>A</v>
      </c>
      <c r="J769" s="62" t="s">
        <v>631</v>
      </c>
      <c r="K769" s="64" t="str">
        <f>IFERROR(IF(VLOOKUP($G769, 'Enter DVID'!$A$1:$D$61, 4, FALSE)="", "", VLOOKUP($G769, 'Enter DVID'!$A$1:$D$61, 4, FALSE)), "")</f>
        <v>STS_OBJID</v>
      </c>
    </row>
    <row r="770" spans="1:12" ht="16.5" thickTop="1" x14ac:dyDescent="0.25">
      <c r="G770" s="19" t="s">
        <v>2</v>
      </c>
      <c r="H770" s="36" t="str">
        <f>IFERROR(IF(VLOOKUP($G770, 'Enter DVID'!$A$1:$C$61, 2, FALSE)="", "", VLOOKUP($G770, 'Enter DVID'!$A$1:$C$61, 2, FALSE)), "")</f>
        <v>342</v>
      </c>
      <c r="I770" s="36" t="str">
        <f>IFERROR(IF(VLOOKUP($G770, 'Enter DVID'!$A$1:$C$61, 3, FALSE)="", "", VLOOKUP($G770, 'Enter DVID'!$A$1:$C$61, 3, FALSE)), "")</f>
        <v>A</v>
      </c>
      <c r="K770" s="36" t="str">
        <f>IFERROR(IF(VLOOKUP($G770, 'Enter DVID'!$A$1:$D$61, 4, FALSE)="", "", VLOOKUP($G770, 'Enter DVID'!$A$1:$D$61, 4, FALSE)), "")</f>
        <v>STS_LOTID</v>
      </c>
    </row>
    <row r="771" spans="1:12" x14ac:dyDescent="0.25">
      <c r="G771" s="19" t="s">
        <v>235</v>
      </c>
      <c r="H771" s="36" t="str">
        <f>IFERROR(IF(VLOOKUP($G771, 'Enter DVID'!$A$1:$C$61, 2, FALSE)="", "", VLOOKUP($G771, 'Enter DVID'!$A$1:$C$61, 2, FALSE)), "")</f>
        <v>4170</v>
      </c>
      <c r="I771" s="36" t="str">
        <f>IFERROR(IF(VLOOKUP($G771, 'Enter DVID'!$A$1:$C$61, 3, FALSE)="", "", VLOOKUP($G771, 'Enter DVID'!$A$1:$C$61, 3, FALSE)), "")</f>
        <v>A</v>
      </c>
      <c r="K771" s="36" t="str">
        <f>IFERROR(IF(VLOOKUP($G771, 'Enter DVID'!$A$1:$D$61, 4, FALSE)="", "", VLOOKUP($G771, 'Enter DVID'!$A$1:$D$61, 4, FALSE)), "")</f>
        <v>STS_SLOTID</v>
      </c>
    </row>
    <row r="772" spans="1:12" x14ac:dyDescent="0.25">
      <c r="G772" s="19" t="s">
        <v>237</v>
      </c>
      <c r="H772" s="36" t="str">
        <f>IFERROR(IF(VLOOKUP($G772, 'Enter DVID'!$A$1:$C$61, 2, FALSE)="", "", VLOOKUP($G772, 'Enter DVID'!$A$1:$C$61, 2, FALSE)), "")</f>
        <v>4186</v>
      </c>
      <c r="I772" s="36" t="str">
        <f>IFERROR(IF(VLOOKUP($G772, 'Enter DVID'!$A$1:$C$61, 3, FALSE)="", "", VLOOKUP($G772, 'Enter DVID'!$A$1:$C$61, 3, FALSE)), "")</f>
        <v>A</v>
      </c>
      <c r="K772" s="36" t="str">
        <f>IFERROR(IF(VLOOKUP($G772, 'Enter DVID'!$A$1:$D$61, 4, FALSE)="", "", VLOOKUP($G772, 'Enter DVID'!$A$1:$D$61, 4, FALSE)), "")</f>
        <v>CHAMBER_ID</v>
      </c>
    </row>
    <row r="773" spans="1:12" x14ac:dyDescent="0.25">
      <c r="G773" s="19" t="s">
        <v>284</v>
      </c>
      <c r="H773" s="36" t="str">
        <f>IFERROR(IF(VLOOKUP($G773, 'Enter DVID'!$A$1:$C$61, 2, FALSE)="", "", VLOOKUP($G773, 'Enter DVID'!$A$1:$C$61, 2, FALSE)), "")</f>
        <v>4183</v>
      </c>
      <c r="I773" s="36" t="str">
        <f>IFERROR(IF(VLOOKUP($G773, 'Enter DVID'!$A$1:$C$61, 3, FALSE)="", "", VLOOKUP($G773, 'Enter DVID'!$A$1:$C$61, 3, FALSE)), "")</f>
        <v>A</v>
      </c>
      <c r="K773" s="36" t="str">
        <f>IFERROR(IF(VLOOKUP($G773, 'Enter DVID'!$A$1:$D$61, 4, FALSE)="", "", VLOOKUP($G773, 'Enter DVID'!$A$1:$D$61, 4, FALSE)), "")</f>
        <v>ACTIVE_RECIPEID</v>
      </c>
    </row>
    <row r="774" spans="1:12" x14ac:dyDescent="0.25">
      <c r="G774" s="19" t="s">
        <v>238</v>
      </c>
      <c r="H774" s="36" t="str">
        <f>IFERROR(IF(VLOOKUP($G774, 'Enter DVID'!$A$1:$C$61, 2, FALSE)="", "", VLOOKUP($G774, 'Enter DVID'!$A$1:$C$61, 2, FALSE)), "")</f>
        <v>4188</v>
      </c>
      <c r="I774" s="36" t="str">
        <f>IFERROR(IF(VLOOKUP($G774, 'Enter DVID'!$A$1:$C$61, 3, FALSE)="", "", VLOOKUP($G774, 'Enter DVID'!$A$1:$C$61, 3, FALSE)), "")</f>
        <v>U1</v>
      </c>
      <c r="K774" s="36" t="str">
        <f>IFERROR(IF(VLOOKUP($G774, 'Enter DVID'!$A$1:$D$61, 4, FALSE)="", "", VLOOKUP($G774, 'Enter DVID'!$A$1:$D$61, 4, FALSE)), "")</f>
        <v>RECIPE_STEP</v>
      </c>
    </row>
    <row r="775" spans="1:12" x14ac:dyDescent="0.25">
      <c r="G775" s="20" t="s">
        <v>278</v>
      </c>
      <c r="H775" s="34" t="str">
        <f>IFERROR(IF(VLOOKUP($G775, 'Enter DVID'!$A$1:$C$61, 2, FALSE)="", "", VLOOKUP($G775, 'Enter DVID'!$A$1:$C$61, 2, FALSE)), "")</f>
        <v>4180</v>
      </c>
      <c r="I775" s="34" t="str">
        <f>IFERROR(IF(VLOOKUP($G775, 'Enter DVID'!$A$1:$C$61, 3, FALSE)="", "", VLOOKUP($G775, 'Enter DVID'!$A$1:$C$61, 3, FALSE)), "")</f>
        <v>A</v>
      </c>
      <c r="K775" s="34" t="str">
        <f>IFERROR(IF(VLOOKUP($G775, 'Enter DVID'!$A$1:$D$61, 4, FALSE)="", "", VLOOKUP($G775, 'Enter DVID'!$A$1:$D$61, 4, FALSE)), "")</f>
        <v>ACTIVE_PRJOBID</v>
      </c>
    </row>
    <row r="776" spans="1:12" x14ac:dyDescent="0.25">
      <c r="G776" s="20" t="s">
        <v>283</v>
      </c>
      <c r="H776" s="34" t="str">
        <f>IFERROR(IF(VLOOKUP($G776, 'Enter DVID'!$A$1:$C$61, 2, FALSE)="", "", VLOOKUP($G776, 'Enter DVID'!$A$1:$C$61, 2, FALSE)), "")</f>
        <v>4182</v>
      </c>
      <c r="I776" s="34" t="str">
        <f>IFERROR(IF(VLOOKUP($G776, 'Enter DVID'!$A$1:$C$61, 3, FALSE)="", "", VLOOKUP($G776, 'Enter DVID'!$A$1:$C$61, 3, FALSE)), "")</f>
        <v>A</v>
      </c>
      <c r="K776" s="34" t="str">
        <f>IFERROR(IF(VLOOKUP($G776, 'Enter DVID'!$A$1:$D$61, 4, FALSE)="", "", VLOOKUP($G776, 'Enter DVID'!$A$1:$D$61, 4, FALSE)), "")</f>
        <v>ACTIVE_PRJOB_CARRIERID</v>
      </c>
    </row>
    <row r="777" spans="1:12" x14ac:dyDescent="0.25">
      <c r="G777" s="20" t="s">
        <v>18</v>
      </c>
      <c r="H777" s="34" t="str">
        <f>IFERROR(IF(VLOOKUP($G777, 'Enter DVID'!$A$1:$C$61, 2, FALSE)="", "", VLOOKUP($G777, 'Enter DVID'!$A$1:$C$61, 2, FALSE)), "")</f>
        <v/>
      </c>
      <c r="I777" s="34" t="str">
        <f>IFERROR(IF(VLOOKUP($G777, 'Enter DVID'!$A$1:$C$61, 3, FALSE)="", "", VLOOKUP($G777, 'Enter DVID'!$A$1:$C$61, 3, FALSE)), "")</f>
        <v/>
      </c>
      <c r="K777" s="34" t="str">
        <f>IFERROR(IF(VLOOKUP($G777, 'Enter DVID'!$A$1:$D$61, 4, FALSE)="", "", VLOOKUP($G777, 'Enter DVID'!$A$1:$D$61, 4, FALSE)), "")</f>
        <v/>
      </c>
    </row>
    <row r="778" spans="1:12" x14ac:dyDescent="0.25">
      <c r="G778" s="20" t="s">
        <v>19</v>
      </c>
      <c r="H778" s="34" t="str">
        <f>IFERROR(IF(VLOOKUP($G778, 'Enter DVID'!$A$1:$C$61, 2, FALSE)="", "", VLOOKUP($G778, 'Enter DVID'!$A$1:$C$61, 2, FALSE)), "")</f>
        <v>3</v>
      </c>
      <c r="I778" s="34" t="str">
        <f>IFERROR(IF(VLOOKUP($G778, 'Enter DVID'!$A$1:$C$61, 3, FALSE)="", "", VLOOKUP($G778, 'Enter DVID'!$A$1:$C$61, 3, FALSE)), "")</f>
        <v>A</v>
      </c>
      <c r="K778" s="34" t="str">
        <f>IFERROR(IF(VLOOKUP($G778, 'Enter DVID'!$A$1:$D$61, 4, FALSE)="", "", VLOOKUP($G778, 'Enter DVID'!$A$1:$D$61, 4, FALSE)), "")</f>
        <v>SYS_CLOCK</v>
      </c>
    </row>
    <row r="779" spans="1:12" x14ac:dyDescent="0.25">
      <c r="G779" s="20" t="s">
        <v>127</v>
      </c>
      <c r="H779" s="34" t="str">
        <f>IFERROR(IF(VLOOKUP($G779, 'Enter DVID'!$A$1:$C$61, 2, FALSE)="", "", VLOOKUP($G779, 'Enter DVID'!$A$1:$C$61, 2, FALSE)), "")</f>
        <v>4187</v>
      </c>
      <c r="I779" s="34" t="str">
        <f>IFERROR(IF(VLOOKUP($G779, 'Enter DVID'!$A$1:$C$61, 3, FALSE)="", "", VLOOKUP($G779, 'Enter DVID'!$A$1:$C$61, 3, FALSE)), "")</f>
        <v>A</v>
      </c>
      <c r="K779" s="34" t="str">
        <f>IFERROR(IF(VLOOKUP($G779, 'Enter DVID'!$A$1:$D$61, 4, FALSE)="", "", VLOOKUP($G779, 'Enter DVID'!$A$1:$D$61, 4, FALSE)), "")</f>
        <v>STAGE_ID</v>
      </c>
    </row>
    <row r="780" spans="1:12" x14ac:dyDescent="0.25">
      <c r="G780" s="20" t="s">
        <v>236</v>
      </c>
      <c r="H780" s="34" t="str">
        <f>IFERROR(IF(VLOOKUP($G780, 'Enter DVID'!$A$1:$C$61, 2, FALSE)="", "", VLOOKUP($G780, 'Enter DVID'!$A$1:$C$61, 2, FALSE)), "")</f>
        <v>346</v>
      </c>
      <c r="I780" s="34" t="str">
        <f>IFERROR(IF(VLOOKUP($G780, 'Enter DVID'!$A$1:$C$61, 3, FALSE)="", "", VLOOKUP($G780, 'Enter DVID'!$A$1:$C$61, 3, FALSE)), "")</f>
        <v>A</v>
      </c>
      <c r="K780" s="34" t="str">
        <f>IFERROR(IF(VLOOKUP($G780, 'Enter DVID'!$A$1:$D$61, 4, FALSE)="", "", VLOOKUP($G780, 'Enter DVID'!$A$1:$D$61, 4, FALSE)), "")</f>
        <v>STS_SUBSTLOCID</v>
      </c>
    </row>
    <row r="782" spans="1:12" ht="16.5" thickBot="1" x14ac:dyDescent="0.3">
      <c r="A782" s="1" t="s">
        <v>14</v>
      </c>
      <c r="B782" s="1" t="s">
        <v>15</v>
      </c>
      <c r="C782" s="3" t="s">
        <v>16</v>
      </c>
      <c r="D782" s="3" t="s">
        <v>122</v>
      </c>
      <c r="E782" s="3" t="s">
        <v>255</v>
      </c>
      <c r="F782" s="15" t="s">
        <v>126</v>
      </c>
      <c r="G782" s="1" t="s">
        <v>123</v>
      </c>
      <c r="H782" s="35" t="s">
        <v>124</v>
      </c>
      <c r="I782" s="35" t="s">
        <v>125</v>
      </c>
      <c r="J782" s="15" t="s">
        <v>100</v>
      </c>
      <c r="K782" s="43" t="s">
        <v>101</v>
      </c>
      <c r="L782" s="15" t="s">
        <v>102</v>
      </c>
    </row>
    <row r="783" spans="1:12" ht="33" thickTop="1" thickBot="1" x14ac:dyDescent="0.3">
      <c r="A783" s="4">
        <v>72</v>
      </c>
      <c r="B783" s="2" t="s">
        <v>72</v>
      </c>
      <c r="C783" s="5" t="s">
        <v>218</v>
      </c>
      <c r="D783" s="2" t="s">
        <v>215</v>
      </c>
      <c r="F783" s="62" t="s">
        <v>632</v>
      </c>
      <c r="G783" s="61" t="s">
        <v>237</v>
      </c>
      <c r="H783" s="36" t="str">
        <f>IFERROR(IF(VLOOKUP($G783, 'Enter DVID'!$A$1:$C$61, 2, FALSE)="", "", VLOOKUP($G783, 'Enter DVID'!$A$1:$C$61, 2, FALSE)), "")</f>
        <v>4186</v>
      </c>
      <c r="I783" s="63" t="str">
        <f>IFERROR(IF(VLOOKUP($G783, 'Enter DVID'!$A$1:$C$61, 3, FALSE)="", "", VLOOKUP($G783, 'Enter DVID'!$A$1:$C$61, 3, FALSE)), "")</f>
        <v>A</v>
      </c>
      <c r="J783" s="62" t="s">
        <v>633</v>
      </c>
      <c r="K783" s="64" t="str">
        <f>IFERROR(IF(VLOOKUP($G783, 'Enter DVID'!$A$1:$D$61, 4, FALSE)="", "", VLOOKUP($G783, 'Enter DVID'!$A$1:$D$61, 4, FALSE)), "")</f>
        <v>CHAMBER_ID</v>
      </c>
    </row>
    <row r="784" spans="1:12" ht="16.5" thickTop="1" x14ac:dyDescent="0.25">
      <c r="G784" s="19" t="s">
        <v>272</v>
      </c>
      <c r="H784" s="36" t="str">
        <f>IFERROR(IF(VLOOKUP($G784, 'Enter DVID'!$A$1:$C$61, 2, FALSE)="", "", VLOOKUP($G784, 'Enter DVID'!$A$1:$C$61, 2, FALSE)), "")</f>
        <v>4183</v>
      </c>
      <c r="I784" s="36" t="str">
        <f>IFERROR(IF(VLOOKUP($G784, 'Enter DVID'!$A$1:$C$61, 3, FALSE)="", "", VLOOKUP($G784, 'Enter DVID'!$A$1:$C$61, 3, FALSE)), "")</f>
        <v>A</v>
      </c>
      <c r="K784" s="36" t="str">
        <f>IFERROR(IF(VLOOKUP($G784, 'Enter DVID'!$A$1:$D$61, 4, FALSE)="", "", VLOOKUP($G784, 'Enter DVID'!$A$1:$D$61, 4, FALSE)), "")</f>
        <v>ACTIVE_RECIPEID</v>
      </c>
    </row>
    <row r="785" spans="1:12" x14ac:dyDescent="0.25">
      <c r="G785" s="19" t="s">
        <v>238</v>
      </c>
      <c r="H785" s="36" t="str">
        <f>IFERROR(IF(VLOOKUP($G785, 'Enter DVID'!$A$1:$C$61, 2, FALSE)="", "", VLOOKUP($G785, 'Enter DVID'!$A$1:$C$61, 2, FALSE)), "")</f>
        <v>4188</v>
      </c>
      <c r="I785" s="36" t="str">
        <f>IFERROR(IF(VLOOKUP($G785, 'Enter DVID'!$A$1:$C$61, 3, FALSE)="", "", VLOOKUP($G785, 'Enter DVID'!$A$1:$C$61, 3, FALSE)), "")</f>
        <v>U1</v>
      </c>
      <c r="K785" s="36" t="str">
        <f>IFERROR(IF(VLOOKUP($G785, 'Enter DVID'!$A$1:$D$61, 4, FALSE)="", "", VLOOKUP($G785, 'Enter DVID'!$A$1:$D$61, 4, FALSE)), "")</f>
        <v>RECIPE_STEP</v>
      </c>
    </row>
    <row r="786" spans="1:12" x14ac:dyDescent="0.25">
      <c r="G786" s="20" t="s">
        <v>18</v>
      </c>
      <c r="H786" s="34" t="str">
        <f>IFERROR(IF(VLOOKUP($G786, 'Enter DVID'!$A$1:$C$61, 2, FALSE)="", "", VLOOKUP($G786, 'Enter DVID'!$A$1:$C$61, 2, FALSE)), "")</f>
        <v/>
      </c>
      <c r="I786" s="34" t="str">
        <f>IFERROR(IF(VLOOKUP($G786, 'Enter DVID'!$A$1:$C$61, 3, FALSE)="", "", VLOOKUP($G786, 'Enter DVID'!$A$1:$C$61, 3, FALSE)), "")</f>
        <v/>
      </c>
      <c r="K786" s="34" t="str">
        <f>IFERROR(IF(VLOOKUP($G786, 'Enter DVID'!$A$1:$D$61, 4, FALSE)="", "", VLOOKUP($G786, 'Enter DVID'!$A$1:$D$61, 4, FALSE)), "")</f>
        <v/>
      </c>
    </row>
    <row r="787" spans="1:12" x14ac:dyDescent="0.25">
      <c r="G787" s="20" t="s">
        <v>19</v>
      </c>
      <c r="H787" s="34" t="str">
        <f>IFERROR(IF(VLOOKUP($G787, 'Enter DVID'!$A$1:$C$61, 2, FALSE)="", "", VLOOKUP($G787, 'Enter DVID'!$A$1:$C$61, 2, FALSE)), "")</f>
        <v>3</v>
      </c>
      <c r="I787" s="34" t="str">
        <f>IFERROR(IF(VLOOKUP($G787, 'Enter DVID'!$A$1:$C$61, 3, FALSE)="", "", VLOOKUP($G787, 'Enter DVID'!$A$1:$C$61, 3, FALSE)), "")</f>
        <v>A</v>
      </c>
      <c r="K787" s="34" t="str">
        <f>IFERROR(IF(VLOOKUP($G787, 'Enter DVID'!$A$1:$D$61, 4, FALSE)="", "", VLOOKUP($G787, 'Enter DVID'!$A$1:$D$61, 4, FALSE)), "")</f>
        <v>SYS_CLOCK</v>
      </c>
    </row>
    <row r="788" spans="1:12" x14ac:dyDescent="0.25">
      <c r="G788" s="20" t="s">
        <v>127</v>
      </c>
      <c r="H788" s="34" t="str">
        <f>IFERROR(IF(VLOOKUP($G788, 'Enter DVID'!$A$1:$C$61, 2, FALSE)="", "", VLOOKUP($G788, 'Enter DVID'!$A$1:$C$61, 2, FALSE)), "")</f>
        <v>4187</v>
      </c>
      <c r="I788" s="34" t="str">
        <f>IFERROR(IF(VLOOKUP($G788, 'Enter DVID'!$A$1:$C$61, 3, FALSE)="", "", VLOOKUP($G788, 'Enter DVID'!$A$1:$C$61, 3, FALSE)), "")</f>
        <v>A</v>
      </c>
      <c r="K788" s="34" t="str">
        <f>IFERROR(IF(VLOOKUP($G788, 'Enter DVID'!$A$1:$D$61, 4, FALSE)="", "", VLOOKUP($G788, 'Enter DVID'!$A$1:$D$61, 4, FALSE)), "")</f>
        <v>STAGE_ID</v>
      </c>
    </row>
    <row r="790" spans="1:12" ht="16.5" thickBot="1" x14ac:dyDescent="0.3">
      <c r="A790" s="1" t="s">
        <v>14</v>
      </c>
      <c r="B790" s="1" t="s">
        <v>15</v>
      </c>
      <c r="C790" s="3" t="s">
        <v>16</v>
      </c>
      <c r="D790" s="3" t="s">
        <v>122</v>
      </c>
      <c r="E790" s="3" t="s">
        <v>255</v>
      </c>
      <c r="F790" s="15" t="s">
        <v>126</v>
      </c>
      <c r="G790" s="1" t="s">
        <v>123</v>
      </c>
      <c r="H790" s="35" t="s">
        <v>124</v>
      </c>
      <c r="I790" s="35" t="s">
        <v>125</v>
      </c>
      <c r="J790" s="15" t="s">
        <v>100</v>
      </c>
      <c r="K790" s="43" t="s">
        <v>101</v>
      </c>
      <c r="L790" s="15" t="s">
        <v>102</v>
      </c>
    </row>
    <row r="791" spans="1:12" ht="33" thickTop="1" thickBot="1" x14ac:dyDescent="0.3">
      <c r="A791" s="4">
        <v>73</v>
      </c>
      <c r="B791" s="2" t="s">
        <v>72</v>
      </c>
      <c r="C791" s="5" t="s">
        <v>219</v>
      </c>
      <c r="D791" s="2" t="s">
        <v>217</v>
      </c>
      <c r="F791" s="62" t="s">
        <v>634</v>
      </c>
      <c r="G791" s="61" t="s">
        <v>237</v>
      </c>
      <c r="H791" s="36" t="str">
        <f>IFERROR(IF(VLOOKUP($G791, 'Enter DVID'!$A$1:$C$61, 2, FALSE)="", "", VLOOKUP($G791, 'Enter DVID'!$A$1:$C$61, 2, FALSE)), "")</f>
        <v>4186</v>
      </c>
      <c r="I791" s="63" t="str">
        <f>IFERROR(IF(VLOOKUP($G791, 'Enter DVID'!$A$1:$C$61, 3, FALSE)="", "", VLOOKUP($G791, 'Enter DVID'!$A$1:$C$61, 3, FALSE)), "")</f>
        <v>A</v>
      </c>
      <c r="J791" s="62" t="s">
        <v>635</v>
      </c>
      <c r="K791" s="64" t="str">
        <f>IFERROR(IF(VLOOKUP($G791, 'Enter DVID'!$A$1:$D$61, 4, FALSE)="", "", VLOOKUP($G791, 'Enter DVID'!$A$1:$D$61, 4, FALSE)), "")</f>
        <v>CHAMBER_ID</v>
      </c>
    </row>
    <row r="792" spans="1:12" ht="16.5" thickTop="1" x14ac:dyDescent="0.25">
      <c r="G792" s="19" t="s">
        <v>272</v>
      </c>
      <c r="H792" s="36" t="str">
        <f>IFERROR(IF(VLOOKUP($G792, 'Enter DVID'!$A$1:$C$61, 2, FALSE)="", "", VLOOKUP($G792, 'Enter DVID'!$A$1:$C$61, 2, FALSE)), "")</f>
        <v>4183</v>
      </c>
      <c r="I792" s="36" t="str">
        <f>IFERROR(IF(VLOOKUP($G792, 'Enter DVID'!$A$1:$C$61, 3, FALSE)="", "", VLOOKUP($G792, 'Enter DVID'!$A$1:$C$61, 3, FALSE)), "")</f>
        <v>A</v>
      </c>
      <c r="K792" s="36" t="str">
        <f>IFERROR(IF(VLOOKUP($G792, 'Enter DVID'!$A$1:$D$61, 4, FALSE)="", "", VLOOKUP($G792, 'Enter DVID'!$A$1:$D$61, 4, FALSE)), "")</f>
        <v>ACTIVE_RECIPEID</v>
      </c>
    </row>
    <row r="793" spans="1:12" x14ac:dyDescent="0.25">
      <c r="G793" s="19" t="s">
        <v>238</v>
      </c>
      <c r="H793" s="36" t="str">
        <f>IFERROR(IF(VLOOKUP($G793, 'Enter DVID'!$A$1:$C$61, 2, FALSE)="", "", VLOOKUP($G793, 'Enter DVID'!$A$1:$C$61, 2, FALSE)), "")</f>
        <v>4188</v>
      </c>
      <c r="I793" s="36" t="str">
        <f>IFERROR(IF(VLOOKUP($G793, 'Enter DVID'!$A$1:$C$61, 3, FALSE)="", "", VLOOKUP($G793, 'Enter DVID'!$A$1:$C$61, 3, FALSE)), "")</f>
        <v>U1</v>
      </c>
      <c r="K793" s="36" t="str">
        <f>IFERROR(IF(VLOOKUP($G793, 'Enter DVID'!$A$1:$D$61, 4, FALSE)="", "", VLOOKUP($G793, 'Enter DVID'!$A$1:$D$61, 4, FALSE)), "")</f>
        <v>RECIPE_STEP</v>
      </c>
    </row>
    <row r="794" spans="1:12" x14ac:dyDescent="0.25">
      <c r="G794" s="20" t="s">
        <v>18</v>
      </c>
      <c r="H794" s="34" t="str">
        <f>IFERROR(IF(VLOOKUP($G794, 'Enter DVID'!$A$1:$C$61, 2, FALSE)="", "", VLOOKUP($G794, 'Enter DVID'!$A$1:$C$61, 2, FALSE)), "")</f>
        <v/>
      </c>
      <c r="I794" s="34" t="str">
        <f>IFERROR(IF(VLOOKUP($G794, 'Enter DVID'!$A$1:$C$61, 3, FALSE)="", "", VLOOKUP($G794, 'Enter DVID'!$A$1:$C$61, 3, FALSE)), "")</f>
        <v/>
      </c>
      <c r="K794" s="34" t="str">
        <f>IFERROR(IF(VLOOKUP($G794, 'Enter DVID'!$A$1:$D$61, 4, FALSE)="", "", VLOOKUP($G794, 'Enter DVID'!$A$1:$D$61, 4, FALSE)), "")</f>
        <v/>
      </c>
    </row>
    <row r="795" spans="1:12" x14ac:dyDescent="0.25">
      <c r="G795" s="20" t="s">
        <v>19</v>
      </c>
      <c r="H795" s="34" t="str">
        <f>IFERROR(IF(VLOOKUP($G795, 'Enter DVID'!$A$1:$C$61, 2, FALSE)="", "", VLOOKUP($G795, 'Enter DVID'!$A$1:$C$61, 2, FALSE)), "")</f>
        <v>3</v>
      </c>
      <c r="I795" s="34" t="str">
        <f>IFERROR(IF(VLOOKUP($G795, 'Enter DVID'!$A$1:$C$61, 3, FALSE)="", "", VLOOKUP($G795, 'Enter DVID'!$A$1:$C$61, 3, FALSE)), "")</f>
        <v>A</v>
      </c>
      <c r="K795" s="34" t="str">
        <f>IFERROR(IF(VLOOKUP($G795, 'Enter DVID'!$A$1:$D$61, 4, FALSE)="", "", VLOOKUP($G795, 'Enter DVID'!$A$1:$D$61, 4, FALSE)), "")</f>
        <v>SYS_CLOCK</v>
      </c>
    </row>
    <row r="796" spans="1:12" x14ac:dyDescent="0.25">
      <c r="G796" s="20" t="s">
        <v>127</v>
      </c>
      <c r="H796" s="34" t="str">
        <f>IFERROR(IF(VLOOKUP($G796, 'Enter DVID'!$A$1:$C$61, 2, FALSE)="", "", VLOOKUP($G796, 'Enter DVID'!$A$1:$C$61, 2, FALSE)), "")</f>
        <v>4187</v>
      </c>
      <c r="I796" s="34" t="str">
        <f>IFERROR(IF(VLOOKUP($G796, 'Enter DVID'!$A$1:$C$61, 3, FALSE)="", "", VLOOKUP($G796, 'Enter DVID'!$A$1:$C$61, 3, FALSE)), "")</f>
        <v>A</v>
      </c>
      <c r="K796" s="34" t="str">
        <f>IFERROR(IF(VLOOKUP($G796, 'Enter DVID'!$A$1:$D$61, 4, FALSE)="", "", VLOOKUP($G796, 'Enter DVID'!$A$1:$D$61, 4, FALSE)), "")</f>
        <v>STAGE_ID</v>
      </c>
    </row>
  </sheetData>
  <phoneticPr fontId="1" type="noConversion"/>
  <dataValidations count="8">
    <dataValidation type="list" errorStyle="information" allowBlank="1" sqref="D2:D6" xr:uid="{EAC88785-288F-4F97-AD69-4644F5E7365D}">
      <formula1>"A,I1,I2,I4,I8,U1,U2,U4,U8"</formula1>
    </dataValidation>
    <dataValidation type="list" errorStyle="information" allowBlank="1" sqref="D7" xr:uid="{6017BB03-C9CF-4FDA-82BC-663F980EE125}">
      <formula1>"I1,I2,I4,I8,U1,U2,U4,U8"</formula1>
    </dataValidation>
    <dataValidation allowBlank="1" showInputMessage="1" showErrorMessage="1" prompt="If CEID is the same for all ports, enter a single CEID (e.g., 100). If different ports require different CEIDs, separate each CEID with a comma (e.g., 100,200,300) corresponding to (Port1, Port2, Port3)" sqref="F34 F215 F41 F55 F62 F68 F75 F81 F87 F93 F100 F107 F115 F123 F129 F136 F144 F151 F162 F167 F178 F188 F201 F208 F48" xr:uid="{FF44EB6B-C816-4BB7-85CC-610534A4BF50}"/>
    <dataValidation allowBlank="1" showInputMessage="1" showErrorMessage="1" prompt="If CEID is the same for all chambers, enter a single CEID (e.g., 100). If different chambers require different CEIDs, separate each CEID with a comma (e.g., 100,200,300) corresponding to (Chamber1, Chamber2, Chamber3)" sqref="F687 F699 F711 F725 F739 F747 F755 F769 F783 F791" xr:uid="{E74CEF64-D73D-4CB3-913F-868BE38469EA}"/>
    <dataValidation allowBlank="1" showInputMessage="1" showErrorMessage="1" prompt="If different ports require different DVIDs, separate each DVID with a comma (e.g., 60,61,62) corresponding to (Port1,Port2,Port3). When you enter DVIDs separated by commas, you must also enter CEIDs separated by commas. Ensure DVID and CEID counts match." sqref="H135 H187 H200 H122 H106 H33 H86 H207 H40 H114 H47 H54 H166 H74 H80 H67 H99 H177 H128 H161 H61 H150 H143 H92 H214" xr:uid="{9C3057D5-56BC-49C8-B1A5-3D0706E97D21}"/>
    <dataValidation allowBlank="1" showInputMessage="1" showErrorMessage="1" prompt="If different chambers need different DVIDs, list them with commas (e.g. 60,61,62 for Chamber1,Chamber2,Chamber3). When entering DVIDs with commas, you must also enter CEIDs with commas, ensuring equal counts." sqref="H686 H698 H710 H724 H782 H738 H754 H768 H746 H790" xr:uid="{06E5642E-C9B4-47EE-8E28-D128E0E1CF6C}"/>
    <dataValidation allowBlank="1" showInputMessage="1" prompt="If different ports require different DVIDs, separate each DVID with a comma (e.g., 60,61,62) corresponding to (Port1,Port2,Port3). When you enter DVIDs separated by commas, you must also enter CEIDs separated by commas. Ensure DVID and CEID counts match." sqref="H34:H38 H41:H45 H48:H52 H55:H59 H62:H65 H68:H72 H75:H78 H81:H84 H87:H90 H93:H97 H100:H104 H107:H112 H115:H120 H123:H126 H129:H133 H136:H141 H144:H148 H151:H159 H162:H164 H167:H175 H178:H185 H188:H198 H201:H205 H208:H212 H215:H219" xr:uid="{E0035805-E613-494A-A651-3806034752C3}"/>
    <dataValidation allowBlank="1" showInputMessage="1" prompt="If different chambers need different DVIDs, list them with commas (e.g. 60,61,62 for Chamber1,Chamber2,Chamber3). When entering DVIDs with commas, you must also enter CEIDs with commas, ensuring equal counts." sqref="H690 H702 H714 H728 H739 H747 H758 H772 H783 H791" xr:uid="{EAB4E50B-A9EF-457B-AC80-C09FB38567E9}"/>
  </dataValidations>
  <pageMargins left="0.7" right="0.7" top="0.75" bottom="0.75" header="0.3" footer="0.3"/>
  <pageSetup paperSize="9" orientation="portrait" horizontalDpi="300" r:id="rId1"/>
  <headerFooter>
    <oddHeader>&amp;L&amp;"Calibri"&amp;10&amp;K000000Security C - TSMC Secret&amp;1#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ED19-109B-4E93-97DB-92DB0179268B}">
  <sheetPr>
    <tabColor rgb="FFFFFF00"/>
  </sheetPr>
  <dimension ref="A1:H90"/>
  <sheetViews>
    <sheetView topLeftCell="A58" workbookViewId="0">
      <selection activeCell="D70" sqref="D70"/>
    </sheetView>
  </sheetViews>
  <sheetFormatPr defaultRowHeight="15.75" x14ac:dyDescent="0.25"/>
  <cols>
    <col min="1" max="1" width="42.42578125" style="25" bestFit="1" customWidth="1"/>
    <col min="2" max="2" width="14.5703125" style="26" bestFit="1" customWidth="1"/>
    <col min="3" max="3" width="11.42578125" style="25" customWidth="1"/>
    <col min="4" max="4" width="30.5703125" style="26" bestFit="1" customWidth="1"/>
    <col min="5" max="5" width="55" style="38" customWidth="1"/>
    <col min="6" max="6" width="60.42578125" style="27" bestFit="1" customWidth="1"/>
  </cols>
  <sheetData>
    <row r="1" spans="1:6" s="40" customFormat="1" ht="34.5" thickTop="1" thickBot="1" x14ac:dyDescent="0.3">
      <c r="A1" s="45" t="s">
        <v>123</v>
      </c>
      <c r="B1" s="50" t="s">
        <v>370</v>
      </c>
      <c r="C1" s="51" t="s">
        <v>125</v>
      </c>
      <c r="D1" s="52" t="s">
        <v>101</v>
      </c>
      <c r="E1" s="47" t="s">
        <v>345</v>
      </c>
      <c r="F1" s="39" t="s">
        <v>368</v>
      </c>
    </row>
    <row r="2" spans="1:6" ht="16.5" thickBot="1" x14ac:dyDescent="0.3">
      <c r="A2" s="46" t="s">
        <v>286</v>
      </c>
      <c r="B2" s="53"/>
      <c r="C2" s="37"/>
      <c r="D2" s="54"/>
      <c r="E2" s="48"/>
      <c r="F2" s="24"/>
    </row>
    <row r="3" spans="1:6" ht="16.5" thickBot="1" x14ac:dyDescent="0.3">
      <c r="A3" s="46" t="s">
        <v>287</v>
      </c>
      <c r="B3" s="53" t="s">
        <v>374</v>
      </c>
      <c r="C3" s="37" t="s">
        <v>375</v>
      </c>
      <c r="D3" s="54" t="s">
        <v>376</v>
      </c>
      <c r="E3" s="48"/>
      <c r="F3" s="24"/>
    </row>
    <row r="4" spans="1:6" ht="16.5" thickBot="1" x14ac:dyDescent="0.3">
      <c r="A4" s="46" t="s">
        <v>285</v>
      </c>
      <c r="B4" s="53" t="s">
        <v>379</v>
      </c>
      <c r="C4" s="37" t="s">
        <v>378</v>
      </c>
      <c r="D4" s="54" t="s">
        <v>377</v>
      </c>
      <c r="E4" s="48"/>
      <c r="F4" s="24" t="s">
        <v>369</v>
      </c>
    </row>
    <row r="5" spans="1:6" ht="16.5" thickBot="1" x14ac:dyDescent="0.3">
      <c r="A5" s="46" t="s">
        <v>288</v>
      </c>
      <c r="B5" s="53" t="s">
        <v>460</v>
      </c>
      <c r="C5" s="37" t="s">
        <v>453</v>
      </c>
      <c r="D5" s="54" t="s">
        <v>463</v>
      </c>
      <c r="E5" s="48" t="s">
        <v>365</v>
      </c>
      <c r="F5" s="24" t="s">
        <v>369</v>
      </c>
    </row>
    <row r="6" spans="1:6" ht="16.5" thickBot="1" x14ac:dyDescent="0.3">
      <c r="A6" s="46" t="s">
        <v>289</v>
      </c>
      <c r="B6" s="53" t="s">
        <v>461</v>
      </c>
      <c r="C6" s="37" t="s">
        <v>375</v>
      </c>
      <c r="D6" s="54" t="s">
        <v>464</v>
      </c>
      <c r="E6" s="48" t="s">
        <v>364</v>
      </c>
      <c r="F6" s="24" t="s">
        <v>369</v>
      </c>
    </row>
    <row r="7" spans="1:6" ht="32.25" thickBot="1" x14ac:dyDescent="0.3">
      <c r="A7" s="46" t="s">
        <v>290</v>
      </c>
      <c r="B7" s="53" t="s">
        <v>462</v>
      </c>
      <c r="C7" s="37" t="s">
        <v>378</v>
      </c>
      <c r="D7" s="54" t="s">
        <v>465</v>
      </c>
      <c r="E7" s="48" t="s">
        <v>353</v>
      </c>
      <c r="F7" s="24" t="s">
        <v>369</v>
      </c>
    </row>
    <row r="8" spans="1:6" ht="48" thickBot="1" x14ac:dyDescent="0.3">
      <c r="A8" s="46" t="s">
        <v>291</v>
      </c>
      <c r="B8" s="53" t="s">
        <v>467</v>
      </c>
      <c r="C8" s="37" t="s">
        <v>375</v>
      </c>
      <c r="D8" s="54" t="s">
        <v>466</v>
      </c>
      <c r="E8" s="48" t="s">
        <v>363</v>
      </c>
      <c r="F8" s="24"/>
    </row>
    <row r="9" spans="1:6" ht="16.5" thickBot="1" x14ac:dyDescent="0.3">
      <c r="A9" s="46" t="s">
        <v>292</v>
      </c>
      <c r="B9" s="53" t="s">
        <v>380</v>
      </c>
      <c r="C9" s="37" t="s">
        <v>378</v>
      </c>
      <c r="D9" s="54" t="s">
        <v>381</v>
      </c>
      <c r="E9" s="49" t="s">
        <v>354</v>
      </c>
      <c r="F9" s="24" t="s">
        <v>369</v>
      </c>
    </row>
    <row r="10" spans="1:6" ht="16.5" thickBot="1" x14ac:dyDescent="0.3">
      <c r="A10" s="46" t="s">
        <v>296</v>
      </c>
      <c r="B10" s="53" t="s">
        <v>383</v>
      </c>
      <c r="C10" s="37" t="s">
        <v>378</v>
      </c>
      <c r="D10" s="54" t="s">
        <v>382</v>
      </c>
      <c r="E10" s="49" t="s">
        <v>354</v>
      </c>
      <c r="F10" s="24" t="s">
        <v>369</v>
      </c>
    </row>
    <row r="11" spans="1:6" ht="16.5" thickBot="1" x14ac:dyDescent="0.3">
      <c r="A11" s="46" t="s">
        <v>293</v>
      </c>
      <c r="B11" s="53" t="s">
        <v>385</v>
      </c>
      <c r="C11" s="37" t="s">
        <v>378</v>
      </c>
      <c r="D11" s="54" t="s">
        <v>384</v>
      </c>
      <c r="E11" s="49" t="s">
        <v>354</v>
      </c>
      <c r="F11" s="24" t="s">
        <v>369</v>
      </c>
    </row>
    <row r="12" spans="1:6" ht="16.5" thickBot="1" x14ac:dyDescent="0.3">
      <c r="A12" s="46" t="s">
        <v>294</v>
      </c>
      <c r="B12" s="53" t="s">
        <v>469</v>
      </c>
      <c r="C12" s="37" t="s">
        <v>393</v>
      </c>
      <c r="D12" s="54" t="s">
        <v>468</v>
      </c>
      <c r="E12" s="49" t="s">
        <v>354</v>
      </c>
      <c r="F12" s="24"/>
    </row>
    <row r="13" spans="1:6" ht="16.5" thickBot="1" x14ac:dyDescent="0.3">
      <c r="A13" s="46" t="s">
        <v>298</v>
      </c>
      <c r="B13" s="53" t="s">
        <v>471</v>
      </c>
      <c r="C13" s="37" t="s">
        <v>378</v>
      </c>
      <c r="D13" s="54" t="s">
        <v>470</v>
      </c>
      <c r="E13" s="49" t="s">
        <v>354</v>
      </c>
      <c r="F13" s="24"/>
    </row>
    <row r="14" spans="1:6" ht="16.5" thickBot="1" x14ac:dyDescent="0.3">
      <c r="A14" s="46" t="s">
        <v>299</v>
      </c>
      <c r="B14" s="53" t="s">
        <v>386</v>
      </c>
      <c r="C14" s="37" t="s">
        <v>375</v>
      </c>
      <c r="D14" s="54" t="s">
        <v>387</v>
      </c>
      <c r="E14" s="49" t="s">
        <v>349</v>
      </c>
      <c r="F14" s="24" t="s">
        <v>369</v>
      </c>
    </row>
    <row r="15" spans="1:6" s="16" customFormat="1" ht="16.5" thickBot="1" x14ac:dyDescent="0.3">
      <c r="A15" s="46" t="s">
        <v>301</v>
      </c>
      <c r="B15" s="53" t="s">
        <v>389</v>
      </c>
      <c r="C15" s="37" t="s">
        <v>378</v>
      </c>
      <c r="D15" s="54" t="s">
        <v>388</v>
      </c>
      <c r="E15" s="49" t="s">
        <v>349</v>
      </c>
      <c r="F15" s="24" t="s">
        <v>369</v>
      </c>
    </row>
    <row r="16" spans="1:6" s="16" customFormat="1" ht="16.5" thickBot="1" x14ac:dyDescent="0.3">
      <c r="A16" s="46" t="s">
        <v>306</v>
      </c>
      <c r="B16" s="53" t="s">
        <v>391</v>
      </c>
      <c r="C16" s="37" t="s">
        <v>378</v>
      </c>
      <c r="D16" s="54" t="s">
        <v>390</v>
      </c>
      <c r="E16" s="49" t="s">
        <v>349</v>
      </c>
      <c r="F16" s="23"/>
    </row>
    <row r="17" spans="1:6" s="16" customFormat="1" ht="16.5" thickBot="1" x14ac:dyDescent="0.3">
      <c r="A17" s="46" t="s">
        <v>302</v>
      </c>
      <c r="B17" s="53" t="s">
        <v>394</v>
      </c>
      <c r="C17" s="37" t="s">
        <v>393</v>
      </c>
      <c r="D17" s="54" t="s">
        <v>392</v>
      </c>
      <c r="E17" s="49" t="s">
        <v>349</v>
      </c>
      <c r="F17" s="23"/>
    </row>
    <row r="18" spans="1:6" s="16" customFormat="1" ht="16.5" thickBot="1" x14ac:dyDescent="0.3">
      <c r="A18" s="46" t="s">
        <v>305</v>
      </c>
      <c r="B18" s="53" t="s">
        <v>395</v>
      </c>
      <c r="C18" s="37" t="s">
        <v>393</v>
      </c>
      <c r="D18" s="54" t="s">
        <v>396</v>
      </c>
      <c r="E18" s="49" t="s">
        <v>349</v>
      </c>
      <c r="F18" s="24" t="s">
        <v>369</v>
      </c>
    </row>
    <row r="19" spans="1:6" s="16" customFormat="1" ht="16.5" thickBot="1" x14ac:dyDescent="0.3">
      <c r="A19" s="46" t="s">
        <v>300</v>
      </c>
      <c r="B19" s="53" t="s">
        <v>398</v>
      </c>
      <c r="C19" s="37" t="s">
        <v>378</v>
      </c>
      <c r="D19" s="54" t="s">
        <v>397</v>
      </c>
      <c r="E19" s="49" t="s">
        <v>349</v>
      </c>
      <c r="F19" s="23"/>
    </row>
    <row r="20" spans="1:6" ht="16.5" thickBot="1" x14ac:dyDescent="0.3">
      <c r="A20" s="46" t="s">
        <v>295</v>
      </c>
      <c r="B20" s="53" t="s">
        <v>400</v>
      </c>
      <c r="C20" s="37" t="s">
        <v>375</v>
      </c>
      <c r="D20" s="54" t="s">
        <v>399</v>
      </c>
      <c r="E20" s="49" t="s">
        <v>349</v>
      </c>
      <c r="F20" s="24" t="s">
        <v>369</v>
      </c>
    </row>
    <row r="21" spans="1:6" s="16" customFormat="1" ht="16.5" thickBot="1" x14ac:dyDescent="0.3">
      <c r="A21" s="46" t="s">
        <v>303</v>
      </c>
      <c r="B21" s="53" t="s">
        <v>406</v>
      </c>
      <c r="C21" s="37" t="s">
        <v>378</v>
      </c>
      <c r="D21" s="54" t="s">
        <v>405</v>
      </c>
      <c r="E21" s="49" t="s">
        <v>349</v>
      </c>
      <c r="F21" s="23"/>
    </row>
    <row r="22" spans="1:6" ht="16.5" thickBot="1" x14ac:dyDescent="0.3">
      <c r="A22" s="46" t="s">
        <v>297</v>
      </c>
      <c r="B22" s="53" t="s">
        <v>402</v>
      </c>
      <c r="C22" s="37" t="s">
        <v>375</v>
      </c>
      <c r="D22" s="54" t="s">
        <v>401</v>
      </c>
      <c r="E22" s="49" t="s">
        <v>349</v>
      </c>
      <c r="F22" s="24"/>
    </row>
    <row r="23" spans="1:6" s="16" customFormat="1" ht="16.5" thickBot="1" x14ac:dyDescent="0.3">
      <c r="A23" s="46" t="s">
        <v>304</v>
      </c>
      <c r="B23" s="53" t="s">
        <v>403</v>
      </c>
      <c r="C23" s="37" t="s">
        <v>378</v>
      </c>
      <c r="D23" s="54" t="s">
        <v>404</v>
      </c>
      <c r="E23" s="49" t="s">
        <v>349</v>
      </c>
      <c r="F23" s="23"/>
    </row>
    <row r="24" spans="1:6" s="16" customFormat="1" ht="16.5" thickBot="1" x14ac:dyDescent="0.3">
      <c r="A24" s="46" t="s">
        <v>307</v>
      </c>
      <c r="B24" s="53" t="s">
        <v>407</v>
      </c>
      <c r="C24" s="37" t="s">
        <v>375</v>
      </c>
      <c r="D24" s="54" t="s">
        <v>408</v>
      </c>
      <c r="E24" s="49" t="s">
        <v>350</v>
      </c>
      <c r="F24" s="24" t="s">
        <v>369</v>
      </c>
    </row>
    <row r="25" spans="1:6" s="16" customFormat="1" ht="16.5" thickBot="1" x14ac:dyDescent="0.3">
      <c r="A25" s="46" t="s">
        <v>308</v>
      </c>
      <c r="B25" s="53" t="s">
        <v>410</v>
      </c>
      <c r="C25" s="37" t="s">
        <v>378</v>
      </c>
      <c r="D25" s="54" t="s">
        <v>409</v>
      </c>
      <c r="E25" s="49" t="s">
        <v>350</v>
      </c>
      <c r="F25" s="24" t="s">
        <v>369</v>
      </c>
    </row>
    <row r="26" spans="1:6" s="16" customFormat="1" ht="16.5" thickBot="1" x14ac:dyDescent="0.3">
      <c r="A26" s="46" t="s">
        <v>316</v>
      </c>
      <c r="B26" s="53" t="s">
        <v>413</v>
      </c>
      <c r="C26" s="37" t="s">
        <v>412</v>
      </c>
      <c r="D26" s="54" t="s">
        <v>411</v>
      </c>
      <c r="E26" s="49" t="s">
        <v>350</v>
      </c>
      <c r="F26" s="23"/>
    </row>
    <row r="27" spans="1:6" s="16" customFormat="1" ht="16.5" thickBot="1" x14ac:dyDescent="0.3">
      <c r="A27" s="46" t="s">
        <v>317</v>
      </c>
      <c r="B27" s="53" t="s">
        <v>415</v>
      </c>
      <c r="C27" s="37" t="s">
        <v>393</v>
      </c>
      <c r="D27" s="54" t="s">
        <v>414</v>
      </c>
      <c r="E27" s="49" t="s">
        <v>350</v>
      </c>
      <c r="F27" s="23"/>
    </row>
    <row r="28" spans="1:6" s="16" customFormat="1" ht="16.5" thickBot="1" x14ac:dyDescent="0.3">
      <c r="A28" s="46" t="s">
        <v>309</v>
      </c>
      <c r="B28" s="53" t="s">
        <v>421</v>
      </c>
      <c r="C28" s="37" t="s">
        <v>375</v>
      </c>
      <c r="D28" s="54" t="s">
        <v>420</v>
      </c>
      <c r="E28" s="49" t="s">
        <v>350</v>
      </c>
      <c r="F28" s="24" t="s">
        <v>369</v>
      </c>
    </row>
    <row r="29" spans="1:6" s="16" customFormat="1" ht="16.5" thickBot="1" x14ac:dyDescent="0.3">
      <c r="A29" s="46" t="s">
        <v>318</v>
      </c>
      <c r="B29" s="53" t="s">
        <v>417</v>
      </c>
      <c r="C29" s="37" t="s">
        <v>378</v>
      </c>
      <c r="D29" s="54" t="s">
        <v>416</v>
      </c>
      <c r="E29" s="49" t="s">
        <v>350</v>
      </c>
      <c r="F29" s="23"/>
    </row>
    <row r="30" spans="1:6" s="16" customFormat="1" ht="16.5" thickBot="1" x14ac:dyDescent="0.3">
      <c r="A30" s="46" t="s">
        <v>314</v>
      </c>
      <c r="B30" s="53" t="s">
        <v>419</v>
      </c>
      <c r="C30" s="37" t="s">
        <v>393</v>
      </c>
      <c r="D30" s="54" t="s">
        <v>418</v>
      </c>
      <c r="E30" s="49" t="s">
        <v>350</v>
      </c>
      <c r="F30" s="23"/>
    </row>
    <row r="31" spans="1:6" s="16" customFormat="1" ht="48" thickBot="1" x14ac:dyDescent="0.3">
      <c r="A31" s="46" t="s">
        <v>319</v>
      </c>
      <c r="B31" s="53" t="s">
        <v>474</v>
      </c>
      <c r="C31" s="37" t="s">
        <v>378</v>
      </c>
      <c r="D31" s="54" t="s">
        <v>475</v>
      </c>
      <c r="E31" s="49" t="s">
        <v>347</v>
      </c>
      <c r="F31" s="24" t="s">
        <v>369</v>
      </c>
    </row>
    <row r="32" spans="1:6" s="16" customFormat="1" ht="32.25" thickBot="1" x14ac:dyDescent="0.3">
      <c r="A32" s="46" t="s">
        <v>313</v>
      </c>
      <c r="B32" s="53" t="s">
        <v>473</v>
      </c>
      <c r="C32" s="37" t="s">
        <v>393</v>
      </c>
      <c r="D32" s="54" t="s">
        <v>472</v>
      </c>
      <c r="E32" s="49" t="s">
        <v>346</v>
      </c>
      <c r="F32" s="23"/>
    </row>
    <row r="33" spans="1:6" s="16" customFormat="1" ht="16.5" thickBot="1" x14ac:dyDescent="0.3">
      <c r="A33" s="46" t="s">
        <v>320</v>
      </c>
      <c r="B33" s="53" t="s">
        <v>423</v>
      </c>
      <c r="C33" s="37" t="s">
        <v>375</v>
      </c>
      <c r="D33" s="54" t="s">
        <v>422</v>
      </c>
      <c r="E33" s="49" t="s">
        <v>352</v>
      </c>
      <c r="F33" s="24" t="s">
        <v>369</v>
      </c>
    </row>
    <row r="34" spans="1:6" s="16" customFormat="1" ht="16.5" thickBot="1" x14ac:dyDescent="0.3">
      <c r="A34" s="46" t="s">
        <v>321</v>
      </c>
      <c r="B34" s="53" t="s">
        <v>425</v>
      </c>
      <c r="C34" s="37" t="s">
        <v>378</v>
      </c>
      <c r="D34" s="54" t="s">
        <v>424</v>
      </c>
      <c r="E34" s="49" t="s">
        <v>352</v>
      </c>
      <c r="F34" s="24" t="s">
        <v>369</v>
      </c>
    </row>
    <row r="35" spans="1:6" s="16" customFormat="1" ht="16.5" thickBot="1" x14ac:dyDescent="0.3">
      <c r="A35" s="46" t="s">
        <v>323</v>
      </c>
      <c r="B35" s="53" t="s">
        <v>427</v>
      </c>
      <c r="C35" s="37" t="s">
        <v>393</v>
      </c>
      <c r="D35" s="54" t="s">
        <v>426</v>
      </c>
      <c r="E35" s="49" t="s">
        <v>352</v>
      </c>
      <c r="F35" s="23"/>
    </row>
    <row r="36" spans="1:6" s="16" customFormat="1" ht="16.5" thickBot="1" x14ac:dyDescent="0.3">
      <c r="A36" s="46" t="s">
        <v>324</v>
      </c>
      <c r="B36" s="53" t="s">
        <v>429</v>
      </c>
      <c r="C36" s="37" t="s">
        <v>393</v>
      </c>
      <c r="D36" s="54" t="s">
        <v>428</v>
      </c>
      <c r="E36" s="49" t="s">
        <v>352</v>
      </c>
      <c r="F36" s="23"/>
    </row>
    <row r="37" spans="1:6" s="16" customFormat="1" ht="16.5" thickBot="1" x14ac:dyDescent="0.3">
      <c r="A37" s="46" t="s">
        <v>322</v>
      </c>
      <c r="B37" s="53" t="s">
        <v>431</v>
      </c>
      <c r="C37" s="37" t="s">
        <v>378</v>
      </c>
      <c r="D37" s="54" t="s">
        <v>430</v>
      </c>
      <c r="E37" s="49" t="s">
        <v>352</v>
      </c>
      <c r="F37" s="23"/>
    </row>
    <row r="38" spans="1:6" s="16" customFormat="1" ht="16.5" thickBot="1" x14ac:dyDescent="0.3">
      <c r="A38" s="46" t="s">
        <v>325</v>
      </c>
      <c r="B38" s="53" t="s">
        <v>433</v>
      </c>
      <c r="C38" s="37" t="s">
        <v>393</v>
      </c>
      <c r="D38" s="54" t="s">
        <v>432</v>
      </c>
      <c r="E38" s="49" t="s">
        <v>352</v>
      </c>
      <c r="F38" s="23"/>
    </row>
    <row r="39" spans="1:6" s="16" customFormat="1" ht="48" thickBot="1" x14ac:dyDescent="0.3">
      <c r="A39" s="46" t="s">
        <v>326</v>
      </c>
      <c r="B39" s="53" t="s">
        <v>476</v>
      </c>
      <c r="C39" s="37" t="s">
        <v>378</v>
      </c>
      <c r="D39" s="54" t="s">
        <v>478</v>
      </c>
      <c r="E39" s="49" t="s">
        <v>348</v>
      </c>
      <c r="F39" s="23"/>
    </row>
    <row r="40" spans="1:6" s="16" customFormat="1" ht="16.5" thickBot="1" x14ac:dyDescent="0.3">
      <c r="A40" s="46" t="s">
        <v>327</v>
      </c>
      <c r="B40" s="53" t="s">
        <v>477</v>
      </c>
      <c r="C40" s="37" t="s">
        <v>378</v>
      </c>
      <c r="D40" s="54" t="s">
        <v>479</v>
      </c>
      <c r="E40" s="49" t="s">
        <v>362</v>
      </c>
      <c r="F40" s="23"/>
    </row>
    <row r="41" spans="1:6" s="16" customFormat="1" ht="16.5" thickBot="1" x14ac:dyDescent="0.3">
      <c r="A41" s="46" t="s">
        <v>328</v>
      </c>
      <c r="B41" s="53" t="s">
        <v>435</v>
      </c>
      <c r="C41" s="37" t="s">
        <v>375</v>
      </c>
      <c r="D41" s="54" t="s">
        <v>434</v>
      </c>
      <c r="E41" s="49" t="s">
        <v>351</v>
      </c>
      <c r="F41" s="24" t="s">
        <v>369</v>
      </c>
    </row>
    <row r="42" spans="1:6" s="16" customFormat="1" ht="16.5" thickBot="1" x14ac:dyDescent="0.3">
      <c r="A42" s="46" t="s">
        <v>329</v>
      </c>
      <c r="B42" s="53" t="s">
        <v>437</v>
      </c>
      <c r="C42" s="37" t="s">
        <v>375</v>
      </c>
      <c r="D42" s="54" t="s">
        <v>436</v>
      </c>
      <c r="E42" s="49" t="s">
        <v>351</v>
      </c>
      <c r="F42" s="24" t="s">
        <v>369</v>
      </c>
    </row>
    <row r="43" spans="1:6" s="16" customFormat="1" ht="16.5" thickBot="1" x14ac:dyDescent="0.3">
      <c r="A43" s="46" t="s">
        <v>330</v>
      </c>
      <c r="B43" s="53" t="s">
        <v>480</v>
      </c>
      <c r="C43" s="37" t="s">
        <v>375</v>
      </c>
      <c r="D43" s="54" t="s">
        <v>484</v>
      </c>
      <c r="E43" s="49" t="s">
        <v>351</v>
      </c>
      <c r="F43" s="24" t="s">
        <v>369</v>
      </c>
    </row>
    <row r="44" spans="1:6" s="16" customFormat="1" ht="16.5" thickBot="1" x14ac:dyDescent="0.3">
      <c r="A44" s="46" t="s">
        <v>331</v>
      </c>
      <c r="B44" s="53" t="s">
        <v>439</v>
      </c>
      <c r="C44" s="37" t="s">
        <v>375</v>
      </c>
      <c r="D44" s="54" t="s">
        <v>438</v>
      </c>
      <c r="E44" s="49" t="s">
        <v>351</v>
      </c>
      <c r="F44" s="24" t="s">
        <v>369</v>
      </c>
    </row>
    <row r="45" spans="1:6" s="16" customFormat="1" ht="16.5" thickBot="1" x14ac:dyDescent="0.3">
      <c r="A45" s="46" t="s">
        <v>335</v>
      </c>
      <c r="B45" s="53" t="s">
        <v>441</v>
      </c>
      <c r="C45" s="37" t="s">
        <v>378</v>
      </c>
      <c r="D45" s="54" t="s">
        <v>440</v>
      </c>
      <c r="E45" s="49" t="s">
        <v>351</v>
      </c>
      <c r="F45" s="23"/>
    </row>
    <row r="46" spans="1:6" s="16" customFormat="1" ht="16.5" thickBot="1" x14ac:dyDescent="0.3">
      <c r="A46" s="46" t="s">
        <v>332</v>
      </c>
      <c r="B46" s="53" t="s">
        <v>443</v>
      </c>
      <c r="C46" s="37" t="s">
        <v>378</v>
      </c>
      <c r="D46" s="54" t="s">
        <v>442</v>
      </c>
      <c r="E46" s="49" t="s">
        <v>351</v>
      </c>
      <c r="F46" s="24" t="s">
        <v>369</v>
      </c>
    </row>
    <row r="47" spans="1:6" s="16" customFormat="1" ht="16.5" thickBot="1" x14ac:dyDescent="0.3">
      <c r="A47" s="46" t="s">
        <v>341</v>
      </c>
      <c r="B47" s="53" t="s">
        <v>444</v>
      </c>
      <c r="C47" s="37" t="s">
        <v>375</v>
      </c>
      <c r="D47" s="54" t="s">
        <v>445</v>
      </c>
      <c r="E47" s="49" t="s">
        <v>351</v>
      </c>
      <c r="F47" s="23"/>
    </row>
    <row r="48" spans="1:6" s="16" customFormat="1" ht="16.5" thickBot="1" x14ac:dyDescent="0.3">
      <c r="A48" s="46" t="s">
        <v>336</v>
      </c>
      <c r="B48" s="53" t="s">
        <v>447</v>
      </c>
      <c r="C48" s="37" t="s">
        <v>375</v>
      </c>
      <c r="D48" s="54" t="s">
        <v>446</v>
      </c>
      <c r="E48" s="49" t="s">
        <v>351</v>
      </c>
      <c r="F48" s="23"/>
    </row>
    <row r="49" spans="1:8" s="16" customFormat="1" ht="16.5" thickBot="1" x14ac:dyDescent="0.3">
      <c r="A49" s="46" t="s">
        <v>337</v>
      </c>
      <c r="B49" s="53" t="s">
        <v>448</v>
      </c>
      <c r="C49" s="37" t="s">
        <v>378</v>
      </c>
      <c r="D49" s="54" t="s">
        <v>482</v>
      </c>
      <c r="E49" s="49" t="s">
        <v>351</v>
      </c>
      <c r="F49" s="23"/>
    </row>
    <row r="50" spans="1:8" s="16" customFormat="1" ht="16.5" thickBot="1" x14ac:dyDescent="0.3">
      <c r="A50" s="46" t="s">
        <v>340</v>
      </c>
      <c r="B50" s="53" t="s">
        <v>481</v>
      </c>
      <c r="C50" s="37" t="s">
        <v>393</v>
      </c>
      <c r="D50" s="54" t="s">
        <v>483</v>
      </c>
      <c r="E50" s="49" t="s">
        <v>351</v>
      </c>
      <c r="F50" s="23"/>
    </row>
    <row r="51" spans="1:8" s="16" customFormat="1" ht="16.5" thickBot="1" x14ac:dyDescent="0.3">
      <c r="A51" s="46" t="s">
        <v>338</v>
      </c>
      <c r="B51" s="53" t="s">
        <v>450</v>
      </c>
      <c r="C51" s="37" t="s">
        <v>378</v>
      </c>
      <c r="D51" s="54" t="s">
        <v>449</v>
      </c>
      <c r="E51" s="49" t="s">
        <v>351</v>
      </c>
      <c r="F51" s="23"/>
    </row>
    <row r="52" spans="1:8" s="16" customFormat="1" ht="16.5" thickBot="1" x14ac:dyDescent="0.3">
      <c r="A52" s="46" t="s">
        <v>339</v>
      </c>
      <c r="B52" s="53" t="s">
        <v>452</v>
      </c>
      <c r="C52" s="37" t="s">
        <v>378</v>
      </c>
      <c r="D52" s="54" t="s">
        <v>451</v>
      </c>
      <c r="E52" s="49" t="s">
        <v>351</v>
      </c>
      <c r="F52" s="23"/>
    </row>
    <row r="53" spans="1:8" s="16" customFormat="1" ht="48" thickBot="1" x14ac:dyDescent="0.3">
      <c r="A53" s="46" t="s">
        <v>333</v>
      </c>
      <c r="B53" s="53" t="s">
        <v>485</v>
      </c>
      <c r="C53" s="37" t="s">
        <v>375</v>
      </c>
      <c r="D53" s="54" t="s">
        <v>607</v>
      </c>
      <c r="E53" s="49" t="s">
        <v>361</v>
      </c>
      <c r="F53" s="24" t="s">
        <v>369</v>
      </c>
      <c r="H53"/>
    </row>
    <row r="54" spans="1:8" s="16" customFormat="1" ht="48" thickBot="1" x14ac:dyDescent="0.3">
      <c r="A54" s="46" t="s">
        <v>311</v>
      </c>
      <c r="B54" s="53" t="s">
        <v>486</v>
      </c>
      <c r="C54" s="37" t="s">
        <v>378</v>
      </c>
      <c r="D54" s="54" t="s">
        <v>608</v>
      </c>
      <c r="E54" s="49" t="s">
        <v>360</v>
      </c>
      <c r="F54" s="23"/>
      <c r="H54"/>
    </row>
    <row r="55" spans="1:8" s="16" customFormat="1" ht="32.25" thickBot="1" x14ac:dyDescent="0.3">
      <c r="A55" s="46" t="s">
        <v>310</v>
      </c>
      <c r="B55" s="53" t="s">
        <v>487</v>
      </c>
      <c r="C55" s="37" t="s">
        <v>375</v>
      </c>
      <c r="D55" s="54" t="s">
        <v>609</v>
      </c>
      <c r="E55" s="49" t="s">
        <v>359</v>
      </c>
      <c r="F55" s="23"/>
      <c r="H55"/>
    </row>
    <row r="56" spans="1:8" s="16" customFormat="1" ht="32.25" thickBot="1" x14ac:dyDescent="0.3">
      <c r="A56" s="46" t="s">
        <v>334</v>
      </c>
      <c r="B56" s="53" t="s">
        <v>488</v>
      </c>
      <c r="C56" s="37" t="s">
        <v>375</v>
      </c>
      <c r="D56" s="54" t="s">
        <v>610</v>
      </c>
      <c r="E56" s="49" t="s">
        <v>355</v>
      </c>
      <c r="F56" s="24" t="s">
        <v>369</v>
      </c>
      <c r="H56"/>
    </row>
    <row r="57" spans="1:8" s="16" customFormat="1" ht="32.25" thickBot="1" x14ac:dyDescent="0.3">
      <c r="A57" s="46" t="s">
        <v>312</v>
      </c>
      <c r="B57" s="53" t="s">
        <v>489</v>
      </c>
      <c r="C57" s="37" t="s">
        <v>375</v>
      </c>
      <c r="D57" s="54" t="s">
        <v>611</v>
      </c>
      <c r="E57" s="49" t="s">
        <v>358</v>
      </c>
      <c r="F57" s="23"/>
      <c r="H57"/>
    </row>
    <row r="58" spans="1:8" s="16" customFormat="1" ht="48" thickBot="1" x14ac:dyDescent="0.3">
      <c r="A58" s="46" t="s">
        <v>315</v>
      </c>
      <c r="B58" s="53" t="s">
        <v>490</v>
      </c>
      <c r="C58" s="37" t="s">
        <v>375</v>
      </c>
      <c r="D58" s="54" t="s">
        <v>612</v>
      </c>
      <c r="E58" s="49" t="s">
        <v>357</v>
      </c>
      <c r="F58" s="23"/>
      <c r="H58"/>
    </row>
    <row r="59" spans="1:8" s="16" customFormat="1" ht="32.25" thickBot="1" x14ac:dyDescent="0.3">
      <c r="A59" s="46" t="s">
        <v>342</v>
      </c>
      <c r="B59" s="53" t="s">
        <v>491</v>
      </c>
      <c r="C59" s="37" t="s">
        <v>375</v>
      </c>
      <c r="D59" s="54" t="s">
        <v>613</v>
      </c>
      <c r="E59" s="49" t="s">
        <v>366</v>
      </c>
      <c r="F59" s="24" t="s">
        <v>369</v>
      </c>
      <c r="H59"/>
    </row>
    <row r="60" spans="1:8" s="16" customFormat="1" ht="95.25" thickBot="1" x14ac:dyDescent="0.3">
      <c r="A60" s="46" t="s">
        <v>343</v>
      </c>
      <c r="B60" s="53" t="s">
        <v>492</v>
      </c>
      <c r="C60" s="37" t="s">
        <v>375</v>
      </c>
      <c r="D60" s="54" t="s">
        <v>614</v>
      </c>
      <c r="E60" s="49" t="s">
        <v>367</v>
      </c>
      <c r="F60" s="23"/>
      <c r="H60"/>
    </row>
    <row r="61" spans="1:8" s="16" customFormat="1" ht="48" thickBot="1" x14ac:dyDescent="0.3">
      <c r="A61" s="46" t="s">
        <v>344</v>
      </c>
      <c r="B61" s="55" t="s">
        <v>493</v>
      </c>
      <c r="C61" s="56" t="s">
        <v>378</v>
      </c>
      <c r="D61" s="57" t="s">
        <v>615</v>
      </c>
      <c r="E61" s="49" t="s">
        <v>356</v>
      </c>
      <c r="F61" s="24" t="s">
        <v>369</v>
      </c>
      <c r="H61"/>
    </row>
    <row r="62" spans="1:8" ht="16.5" thickTop="1" x14ac:dyDescent="0.25"/>
    <row r="88" spans="1:6" s="16" customFormat="1" x14ac:dyDescent="0.25">
      <c r="A88" s="25"/>
      <c r="B88" s="26"/>
      <c r="C88" s="28"/>
      <c r="D88" s="44"/>
      <c r="E88" s="29"/>
      <c r="F88" s="25"/>
    </row>
    <row r="89" spans="1:6" s="16" customFormat="1" x14ac:dyDescent="0.25">
      <c r="A89" s="25"/>
      <c r="B89" s="26"/>
      <c r="C89" s="28"/>
      <c r="D89" s="44"/>
      <c r="E89" s="29"/>
      <c r="F89" s="25"/>
    </row>
    <row r="90" spans="1:6" s="16" customFormat="1" x14ac:dyDescent="0.25">
      <c r="A90" s="25"/>
      <c r="B90" s="26"/>
      <c r="C90" s="28"/>
      <c r="D90" s="44"/>
      <c r="E90" s="29"/>
      <c r="F90" s="25"/>
    </row>
  </sheetData>
  <phoneticPr fontId="5" type="noConversion"/>
  <dataValidations count="2">
    <dataValidation allowBlank="1" prompt="If different chambers need different DVIDs, list them with commas (e.g. 60,61,62 for Chamber1,Chamber2,Chamber3). When entering DVIDs with commas, you must also enter CEIDs with commas, ensuring equal counts." sqref="B1:B3 B5:B6 B8:B9 B11:B12 B14:B15 B17:B18 B20:B21 B23:B24 B26:B27 B29:B30 B32:B33 B35:B36 B38:B39 B41:B42 B44:B45 B47:B48 B50:B51 B53:B54 B56:B57 B59:B60 D2:D61" xr:uid="{AB2488CF-D020-4B7C-8C56-C62031807AF7}"/>
    <dataValidation type="list" errorStyle="information" allowBlank="1" sqref="C88:D90 C2:C61" xr:uid="{5CA6ECF6-CAB9-46DD-BCDC-DCD50587EDE9}">
      <formula1>"A,I1,I2,I4,I8,U1,U2,U4,U8,F4,F8,BOOLEAN,BINARY,JIS-8,List"</formula1>
    </dataValidation>
  </dataValidations>
  <pageMargins left="0.7" right="0.7" top="0.75" bottom="0.75" header="0.3" footer="0.3"/>
  <pageSetup paperSize="9" orientation="portrait" r:id="rId1"/>
  <headerFooter>
    <oddHeader>&amp;L&amp;"Calibri"&amp;10&amp;K000000Security C - TSMC Secret&amp;1#</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How to Fill</vt:lpstr>
      <vt:lpstr>Define Event Report</vt:lpstr>
      <vt:lpstr>Enter DVID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2025-12-03T10:49:49Z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a7859fa-fb81-458d-9040-c3b7cffe6362_Enabled">
    <vt:lpwstr>true</vt:lpwstr>
  </property>
  <property fmtid="{D5CDD505-2E9C-101B-9397-08002B2CF9AE}" pid="3" name="MSIP_Label_9a7859fa-fb81-458d-9040-c3b7cffe6362_SetDate">
    <vt:lpwstr>2025-10-27T10:42:35Z</vt:lpwstr>
  </property>
  <property fmtid="{D5CDD505-2E9C-101B-9397-08002B2CF9AE}" pid="4" name="MSIP_Label_9a7859fa-fb81-458d-9040-c3b7cffe6362_Method">
    <vt:lpwstr>Privileged</vt:lpwstr>
  </property>
  <property fmtid="{D5CDD505-2E9C-101B-9397-08002B2CF9AE}" pid="5" name="MSIP_Label_9a7859fa-fb81-458d-9040-c3b7cffe6362_Name">
    <vt:lpwstr>External</vt:lpwstr>
  </property>
  <property fmtid="{D5CDD505-2E9C-101B-9397-08002B2CF9AE}" pid="6" name="MSIP_Label_9a7859fa-fb81-458d-9040-c3b7cffe6362_SiteId">
    <vt:lpwstr>9255f64b-1818-42e5-ad78-f619a9a7b1e7</vt:lpwstr>
  </property>
  <property fmtid="{D5CDD505-2E9C-101B-9397-08002B2CF9AE}" pid="7" name="MSIP_Label_9a7859fa-fb81-458d-9040-c3b7cffe6362_ActionId">
    <vt:lpwstr>1e0e02c1-520b-4d07-ba68-05f189dd2760</vt:lpwstr>
  </property>
  <property fmtid="{D5CDD505-2E9C-101B-9397-08002B2CF9AE}" pid="8" name="MSIP_Label_9a7859fa-fb81-458d-9040-c3b7cffe6362_ContentBits">
    <vt:lpwstr>3</vt:lpwstr>
  </property>
</Properties>
</file>